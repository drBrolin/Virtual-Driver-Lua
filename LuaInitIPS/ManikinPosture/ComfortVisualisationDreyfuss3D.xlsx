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__home\Virtual-Driver-Lua\LuaInitIPS\ManikinPosture\"/>
    </mc:Choice>
  </mc:AlternateContent>
  <xr:revisionPtr revIDLastSave="0" documentId="13_ncr:1_{D461102C-939C-4D77-94DD-C3051B722FD2}" xr6:coauthVersionLast="47" xr6:coauthVersionMax="47" xr10:uidLastSave="{00000000-0000-0000-0000-000000000000}"/>
  <bookViews>
    <workbookView xWindow="-108" yWindow="-108" windowWidth="30936" windowHeight="18696" activeTab="1" xr2:uid="{0FF50E34-6C9B-42DE-88E6-5B0EEC173A93}"/>
  </bookViews>
  <sheets>
    <sheet name="ResultVisualisation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G5" i="2"/>
  <c r="J5" i="2" s="1"/>
  <c r="G6" i="2"/>
  <c r="G7" i="2"/>
  <c r="G8" i="2"/>
  <c r="I8" i="2" s="1"/>
  <c r="G9" i="2"/>
  <c r="G10" i="2"/>
  <c r="G11" i="2"/>
  <c r="I11" i="2" s="1"/>
  <c r="G12" i="2"/>
  <c r="G13" i="2"/>
  <c r="G14" i="2"/>
  <c r="G15" i="2"/>
  <c r="G16" i="2"/>
  <c r="G17" i="2"/>
  <c r="G18" i="2"/>
  <c r="G19" i="2"/>
  <c r="G20" i="2"/>
  <c r="G21" i="2"/>
  <c r="I21" i="2" s="1"/>
  <c r="G22" i="2"/>
  <c r="G23" i="2"/>
  <c r="J23" i="2" s="1"/>
  <c r="G24" i="2"/>
  <c r="G25" i="2"/>
  <c r="G26" i="2"/>
  <c r="G27" i="2"/>
  <c r="I27" i="2" s="1"/>
  <c r="G28" i="2"/>
  <c r="G29" i="2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" i="1"/>
  <c r="A2" i="1"/>
  <c r="F2" i="1"/>
  <c r="E2" i="1"/>
  <c r="D2" i="1"/>
  <c r="C2" i="1"/>
  <c r="J7" i="2"/>
  <c r="H7" i="2"/>
  <c r="H8" i="2"/>
  <c r="H9" i="2"/>
  <c r="H10" i="2"/>
  <c r="H11" i="2"/>
  <c r="H12" i="2"/>
  <c r="J12" i="2"/>
  <c r="H13" i="2"/>
  <c r="I14" i="2"/>
  <c r="H14" i="2"/>
  <c r="H15" i="2"/>
  <c r="I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F2" i="2"/>
  <c r="G2" i="2"/>
  <c r="I2" i="2" s="1"/>
  <c r="H2" i="2"/>
  <c r="F3" i="2"/>
  <c r="J3" i="2" s="1"/>
  <c r="G3" i="2"/>
  <c r="H3" i="2"/>
  <c r="F4" i="2"/>
  <c r="G4" i="2"/>
  <c r="I4" i="2" s="1"/>
  <c r="H4" i="2"/>
  <c r="J4" i="2"/>
  <c r="H5" i="2"/>
  <c r="H6" i="2"/>
  <c r="J25" i="2" l="1"/>
  <c r="J11" i="2"/>
  <c r="J9" i="2"/>
  <c r="I20" i="2"/>
  <c r="J15" i="2"/>
  <c r="I19" i="2"/>
  <c r="I28" i="2"/>
  <c r="I12" i="2"/>
  <c r="J28" i="2"/>
  <c r="J8" i="2"/>
  <c r="J19" i="2"/>
  <c r="I22" i="2"/>
  <c r="I7" i="2"/>
  <c r="J21" i="2"/>
  <c r="J20" i="2"/>
  <c r="I26" i="2"/>
  <c r="J17" i="2"/>
  <c r="I29" i="2"/>
  <c r="I10" i="2"/>
  <c r="J2" i="2"/>
  <c r="I13" i="2"/>
  <c r="I9" i="2"/>
  <c r="J27" i="2"/>
  <c r="J14" i="2"/>
  <c r="J18" i="2"/>
  <c r="I23" i="2"/>
  <c r="I16" i="2"/>
  <c r="J24" i="2"/>
  <c r="I25" i="2"/>
  <c r="I24" i="2"/>
  <c r="J22" i="2"/>
  <c r="I18" i="2"/>
  <c r="I17" i="2"/>
  <c r="J10" i="2"/>
  <c r="J26" i="2"/>
  <c r="J29" i="2"/>
  <c r="J13" i="2"/>
  <c r="J16" i="2"/>
  <c r="I3" i="2"/>
  <c r="I5" i="2"/>
  <c r="I6" i="2"/>
  <c r="J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5A04FB-3326-4770-B029-11B692B097AC}" keepAlive="1" name="Query - currentJointData_Family 1" description="Connection to the 'currentJointData_Family 1' query in the workbook." type="5" refreshedVersion="0" background="1">
    <dbPr connection="Provider=Microsoft.Mashup.OleDb.1;Data Source=$Workbook$;Location=&quot;currentJointData_Family 1&quot;;Extended Properties=&quot;&quot;" command="SELECT * FROM [currentJointData_Family 1]"/>
  </connection>
  <connection id="2" xr16:uid="{D2F5067F-BB13-4A0A-900A-792A35CC1FA9}" keepAlive="1" name="Query - currentJointData_Family 1 (2)" description="Connection to the 'currentJointData_Family 1 (2)' query in the workbook." type="5" refreshedVersion="0" background="1">
    <dbPr connection="Provider=Microsoft.Mashup.OleDb.1;Data Source=$Workbook$;Location=&quot;currentJointData_Family 1 (2)&quot;;Extended Properties=&quot;&quot;" command="SELECT * FROM [currentJointData_Family 1 (2)]"/>
  </connection>
  <connection id="3" xr16:uid="{C6854070-D292-4102-B86C-290C8AAF0E10}" keepAlive="1" name="Query - currentJointData_Family 1 (3)" description="Connection to the 'currentJointData_Family 1 (3)' query in the workbook." type="5" refreshedVersion="0" background="1">
    <dbPr connection="Provider=Microsoft.Mashup.OleDb.1;Data Source=$Workbook$;Location=&quot;currentJointData_Family 1 (3)&quot;;Extended Properties=&quot;&quot;" command="SELECT * FROM [currentJointData_Family 1 (3)]"/>
  </connection>
</connections>
</file>

<file path=xl/sharedStrings.xml><?xml version="1.0" encoding="utf-8"?>
<sst xmlns="http://schemas.openxmlformats.org/spreadsheetml/2006/main" count="43" uniqueCount="36">
  <si>
    <t>UpperArmFlexionRT</t>
  </si>
  <si>
    <t>UpperArmFlexionLT</t>
  </si>
  <si>
    <t>Low</t>
  </si>
  <si>
    <t>Value</t>
  </si>
  <si>
    <t>High</t>
  </si>
  <si>
    <t>Mode</t>
  </si>
  <si>
    <t>Angle</t>
  </si>
  <si>
    <t>OK</t>
  </si>
  <si>
    <t>NOK</t>
  </si>
  <si>
    <t>Comfort rating</t>
  </si>
  <si>
    <t>UpperArmElevationRT</t>
  </si>
  <si>
    <t>UpperArmElevationLT</t>
  </si>
  <si>
    <t>HumeralRotationRT</t>
  </si>
  <si>
    <t>HumeralRotationLT</t>
  </si>
  <si>
    <t>ForearmTwistRT</t>
  </si>
  <si>
    <t>ForearmTwistLT</t>
  </si>
  <si>
    <t>WristUlnarDeviationRT</t>
  </si>
  <si>
    <t>WristUlnarDeviationLT</t>
  </si>
  <si>
    <t>WristFlexionRT</t>
  </si>
  <si>
    <t>WristFlexionLT</t>
  </si>
  <si>
    <t>HeadFlexion</t>
  </si>
  <si>
    <t>HeadLateral</t>
  </si>
  <si>
    <t>HeadRotation</t>
  </si>
  <si>
    <t>LegSplayRT</t>
  </si>
  <si>
    <t>LegSplayLT</t>
  </si>
  <si>
    <t>ElbowFlexionIncludedRT</t>
  </si>
  <si>
    <t>ElbowFlexionIncludedLT</t>
  </si>
  <si>
    <t>TorsoRecline</t>
  </si>
  <si>
    <t>TrunkThighRT</t>
  </si>
  <si>
    <t>TrunkThighLT</t>
  </si>
  <si>
    <t>ThighRotationRT</t>
  </si>
  <si>
    <t>ThighRotationLT</t>
  </si>
  <si>
    <t>KneeFlexionRT</t>
  </si>
  <si>
    <t>KneeFlexionLT</t>
  </si>
  <si>
    <t>AnklePlantarDorsiFlexionRT</t>
  </si>
  <si>
    <t>AnklePlantarDorsiFlexionLT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</si>
</sst>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left" vertical="center" inden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3" borderId="10" xfId="0" applyFont="1" applyFill="1" applyBorder="1"/>
    <xf numFmtId="0" fontId="0" fillId="0" borderId="10" xfId="0" applyFont="1" applyBorder="1"/>
    <xf numFmtId="11" fontId="0" fillId="3" borderId="10" xfId="0" applyNumberFormat="1" applyFont="1" applyFill="1" applyBorder="1"/>
    <xf numFmtId="11" fontId="0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939887988125734E-2"/>
          <c:y val="2.7639344929050669E-2"/>
          <c:w val="0.94481454848646584"/>
          <c:h val="0.90654333684101662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Data!$I$1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Data!$A$2:$A$29</c:f>
              <c:strCache>
                <c:ptCount val="28"/>
                <c:pt idx="0">
                  <c:v>HeadFlexion</c:v>
                </c:pt>
                <c:pt idx="1">
                  <c:v>HeadLateral</c:v>
                </c:pt>
                <c:pt idx="2">
                  <c:v>HeadRotation</c:v>
                </c:pt>
                <c:pt idx="3">
                  <c:v>UpperArmFlexionRT</c:v>
                </c:pt>
                <c:pt idx="4">
                  <c:v>UpperArmFlexionLT</c:v>
                </c:pt>
                <c:pt idx="5">
                  <c:v>UpperArmElevationRT</c:v>
                </c:pt>
                <c:pt idx="6">
                  <c:v>UpperArmElevationLT</c:v>
                </c:pt>
                <c:pt idx="7">
                  <c:v>HumeralRotationRT</c:v>
                </c:pt>
                <c:pt idx="8">
                  <c:v>HumeralRotationLT</c:v>
                </c:pt>
                <c:pt idx="9">
                  <c:v>ElbowFlexionIncludedRT</c:v>
                </c:pt>
                <c:pt idx="10">
                  <c:v>ElbowFlexionIncludedLT</c:v>
                </c:pt>
                <c:pt idx="11">
                  <c:v>ForearmTwistRT</c:v>
                </c:pt>
                <c:pt idx="12">
                  <c:v>ForearmTwistLT</c:v>
                </c:pt>
                <c:pt idx="13">
                  <c:v>WristUlnarDeviationRT</c:v>
                </c:pt>
                <c:pt idx="14">
                  <c:v>WristUlnarDeviationLT</c:v>
                </c:pt>
                <c:pt idx="15">
                  <c:v>WristFlexionRT</c:v>
                </c:pt>
                <c:pt idx="16">
                  <c:v>WristFlexionLT</c:v>
                </c:pt>
                <c:pt idx="17">
                  <c:v>TorsoRecline</c:v>
                </c:pt>
                <c:pt idx="18">
                  <c:v>TrunkThighRT</c:v>
                </c:pt>
                <c:pt idx="19">
                  <c:v>TrunkThighLT</c:v>
                </c:pt>
                <c:pt idx="20">
                  <c:v>LegSplayRT</c:v>
                </c:pt>
                <c:pt idx="21">
                  <c:v>LegSplayLT</c:v>
                </c:pt>
                <c:pt idx="22">
                  <c:v>ThighRotationRT</c:v>
                </c:pt>
                <c:pt idx="23">
                  <c:v>ThighRotationLT</c:v>
                </c:pt>
                <c:pt idx="24">
                  <c:v>KneeFlexionRT</c:v>
                </c:pt>
                <c:pt idx="25">
                  <c:v>KneeFlexionLT</c:v>
                </c:pt>
                <c:pt idx="26">
                  <c:v>AnklePlantarDorsiFlexionRT</c:v>
                </c:pt>
                <c:pt idx="27">
                  <c:v>AnklePlantarDorsiFlexionLT</c:v>
                </c:pt>
              </c:strCache>
            </c:strRef>
          </c:cat>
          <c:val>
            <c:numRef>
              <c:f>Data!$I$2:$I$29</c:f>
              <c:numCache>
                <c:formatCode>0.0</c:formatCode>
                <c:ptCount val="28"/>
                <c:pt idx="0">
                  <c:v>-2.2882064427584002E-9</c:v>
                </c:pt>
                <c:pt idx="1">
                  <c:v>1.3784763832989999E-5</c:v>
                </c:pt>
                <c:pt idx="2">
                  <c:v>3.4042843956403003E-5</c:v>
                </c:pt>
                <c:pt idx="3">
                  <c:v>-9.8976263396729003</c:v>
                </c:pt>
                <c:pt idx="4">
                  <c:v>-9.8975423604839499</c:v>
                </c:pt>
                <c:pt idx="5">
                  <c:v>-7.0509573116819002</c:v>
                </c:pt>
                <c:pt idx="6">
                  <c:v>-7.0517452600860997</c:v>
                </c:pt>
                <c:pt idx="7">
                  <c:v>10.005402703036534</c:v>
                </c:pt>
                <c:pt idx="8">
                  <c:v>10.004871741890922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-4.4625571272229703</c:v>
                </c:pt>
                <c:pt idx="14">
                  <c:v>-4.4625594742479198</c:v>
                </c:pt>
                <c:pt idx="15">
                  <c:v>-9.9972266278820818</c:v>
                </c:pt>
                <c:pt idx="16">
                  <c:v>-9.9976347848109892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4.5398113643479991</c:v>
                </c:pt>
                <c:pt idx="21">
                  <c:v>4.5685612739970001</c:v>
                </c:pt>
                <c:pt idx="22">
                  <c:v>-1.9802672486588</c:v>
                </c:pt>
                <c:pt idx="23">
                  <c:v>-1.9806645241148999</c:v>
                </c:pt>
                <c:pt idx="24">
                  <c:v>#N/A</c:v>
                </c:pt>
                <c:pt idx="25">
                  <c:v>#N/A</c:v>
                </c:pt>
                <c:pt idx="26">
                  <c:v>-7.5</c:v>
                </c:pt>
                <c:pt idx="27">
                  <c:v>-7.5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3-468F-8006-48734D2F3F3D}"/>
            </c:ext>
          </c:extLst>
        </c:ser>
        <c:ser>
          <c:idx val="4"/>
          <c:order val="1"/>
          <c:tx>
            <c:strRef>
              <c:f>Data!$J$1</c:f>
              <c:strCache>
                <c:ptCount val="1"/>
                <c:pt idx="0">
                  <c:v>NOK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Data!$A$2:$A$29</c:f>
              <c:strCache>
                <c:ptCount val="28"/>
                <c:pt idx="0">
                  <c:v>HeadFlexion</c:v>
                </c:pt>
                <c:pt idx="1">
                  <c:v>HeadLateral</c:v>
                </c:pt>
                <c:pt idx="2">
                  <c:v>HeadRotation</c:v>
                </c:pt>
                <c:pt idx="3">
                  <c:v>UpperArmFlexionRT</c:v>
                </c:pt>
                <c:pt idx="4">
                  <c:v>UpperArmFlexionLT</c:v>
                </c:pt>
                <c:pt idx="5">
                  <c:v>UpperArmElevationRT</c:v>
                </c:pt>
                <c:pt idx="6">
                  <c:v>UpperArmElevationLT</c:v>
                </c:pt>
                <c:pt idx="7">
                  <c:v>HumeralRotationRT</c:v>
                </c:pt>
                <c:pt idx="8">
                  <c:v>HumeralRotationLT</c:v>
                </c:pt>
                <c:pt idx="9">
                  <c:v>ElbowFlexionIncludedRT</c:v>
                </c:pt>
                <c:pt idx="10">
                  <c:v>ElbowFlexionIncludedLT</c:v>
                </c:pt>
                <c:pt idx="11">
                  <c:v>ForearmTwistRT</c:v>
                </c:pt>
                <c:pt idx="12">
                  <c:v>ForearmTwistLT</c:v>
                </c:pt>
                <c:pt idx="13">
                  <c:v>WristUlnarDeviationRT</c:v>
                </c:pt>
                <c:pt idx="14">
                  <c:v>WristUlnarDeviationLT</c:v>
                </c:pt>
                <c:pt idx="15">
                  <c:v>WristFlexionRT</c:v>
                </c:pt>
                <c:pt idx="16">
                  <c:v>WristFlexionLT</c:v>
                </c:pt>
                <c:pt idx="17">
                  <c:v>TorsoRecline</c:v>
                </c:pt>
                <c:pt idx="18">
                  <c:v>TrunkThighRT</c:v>
                </c:pt>
                <c:pt idx="19">
                  <c:v>TrunkThighLT</c:v>
                </c:pt>
                <c:pt idx="20">
                  <c:v>LegSplayRT</c:v>
                </c:pt>
                <c:pt idx="21">
                  <c:v>LegSplayLT</c:v>
                </c:pt>
                <c:pt idx="22">
                  <c:v>ThighRotationRT</c:v>
                </c:pt>
                <c:pt idx="23">
                  <c:v>ThighRotationLT</c:v>
                </c:pt>
                <c:pt idx="24">
                  <c:v>KneeFlexionRT</c:v>
                </c:pt>
                <c:pt idx="25">
                  <c:v>KneeFlexionLT</c:v>
                </c:pt>
                <c:pt idx="26">
                  <c:v>AnklePlantarDorsiFlexionRT</c:v>
                </c:pt>
                <c:pt idx="27">
                  <c:v>AnklePlantarDorsiFlexionLT</c:v>
                </c:pt>
              </c:strCache>
            </c:strRef>
          </c:cat>
          <c:val>
            <c:numRef>
              <c:f>Data!$J$2:$J$29</c:f>
              <c:numCache>
                <c:formatCode>General</c:formatCode>
                <c:ptCount val="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44.061336541830002</c:v>
                </c:pt>
                <c:pt idx="10">
                  <c:v>44.062861578299987</c:v>
                </c:pt>
                <c:pt idx="11">
                  <c:v>-49.215112326556671</c:v>
                </c:pt>
                <c:pt idx="12">
                  <c:v>-49.215112487144687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-17.449353004361399</c:v>
                </c:pt>
                <c:pt idx="18">
                  <c:v>61.812826148289986</c:v>
                </c:pt>
                <c:pt idx="19">
                  <c:v>61.812915874059996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53.417526628189989</c:v>
                </c:pt>
                <c:pt idx="25">
                  <c:v>53.469344603970001</c:v>
                </c:pt>
                <c:pt idx="26">
                  <c:v>#N/A</c:v>
                </c:pt>
                <c:pt idx="2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3-468F-8006-48734D2F3F3D}"/>
            </c:ext>
          </c:extLst>
        </c:ser>
        <c:ser>
          <c:idx val="0"/>
          <c:order val="2"/>
          <c:tx>
            <c:strRef>
              <c:f>Data!$F$1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Data!$A$2:$A$29</c:f>
              <c:strCache>
                <c:ptCount val="28"/>
                <c:pt idx="0">
                  <c:v>HeadFlexion</c:v>
                </c:pt>
                <c:pt idx="1">
                  <c:v>HeadLateral</c:v>
                </c:pt>
                <c:pt idx="2">
                  <c:v>HeadRotation</c:v>
                </c:pt>
                <c:pt idx="3">
                  <c:v>UpperArmFlexionRT</c:v>
                </c:pt>
                <c:pt idx="4">
                  <c:v>UpperArmFlexionLT</c:v>
                </c:pt>
                <c:pt idx="5">
                  <c:v>UpperArmElevationRT</c:v>
                </c:pt>
                <c:pt idx="6">
                  <c:v>UpperArmElevationLT</c:v>
                </c:pt>
                <c:pt idx="7">
                  <c:v>HumeralRotationRT</c:v>
                </c:pt>
                <c:pt idx="8">
                  <c:v>HumeralRotationLT</c:v>
                </c:pt>
                <c:pt idx="9">
                  <c:v>ElbowFlexionIncludedRT</c:v>
                </c:pt>
                <c:pt idx="10">
                  <c:v>ElbowFlexionIncludedLT</c:v>
                </c:pt>
                <c:pt idx="11">
                  <c:v>ForearmTwistRT</c:v>
                </c:pt>
                <c:pt idx="12">
                  <c:v>ForearmTwistLT</c:v>
                </c:pt>
                <c:pt idx="13">
                  <c:v>WristUlnarDeviationRT</c:v>
                </c:pt>
                <c:pt idx="14">
                  <c:v>WristUlnarDeviationLT</c:v>
                </c:pt>
                <c:pt idx="15">
                  <c:v>WristFlexionRT</c:v>
                </c:pt>
                <c:pt idx="16">
                  <c:v>WristFlexionLT</c:v>
                </c:pt>
                <c:pt idx="17">
                  <c:v>TorsoRecline</c:v>
                </c:pt>
                <c:pt idx="18">
                  <c:v>TrunkThighRT</c:v>
                </c:pt>
                <c:pt idx="19">
                  <c:v>TrunkThighLT</c:v>
                </c:pt>
                <c:pt idx="20">
                  <c:v>LegSplayRT</c:v>
                </c:pt>
                <c:pt idx="21">
                  <c:v>LegSplayLT</c:v>
                </c:pt>
                <c:pt idx="22">
                  <c:v>ThighRotationRT</c:v>
                </c:pt>
                <c:pt idx="23">
                  <c:v>ThighRotationLT</c:v>
                </c:pt>
                <c:pt idx="24">
                  <c:v>KneeFlexionRT</c:v>
                </c:pt>
                <c:pt idx="25">
                  <c:v>KneeFlexionLT</c:v>
                </c:pt>
                <c:pt idx="26">
                  <c:v>AnklePlantarDorsiFlexionRT</c:v>
                </c:pt>
                <c:pt idx="27">
                  <c:v>AnklePlantarDorsiFlexionLT</c:v>
                </c:pt>
              </c:strCache>
            </c:strRef>
          </c:cat>
          <c:val>
            <c:numRef>
              <c:f>Data!$F$2:$F$29</c:f>
              <c:numCache>
                <c:formatCode>0.0</c:formatCode>
                <c:ptCount val="28"/>
                <c:pt idx="0">
                  <c:v>-30</c:v>
                </c:pt>
                <c:pt idx="1">
                  <c:v>-20</c:v>
                </c:pt>
                <c:pt idx="2">
                  <c:v>-45</c:v>
                </c:pt>
                <c:pt idx="3">
                  <c:v>-25</c:v>
                </c:pt>
                <c:pt idx="4">
                  <c:v>-25</c:v>
                </c:pt>
                <c:pt idx="5">
                  <c:v>-15</c:v>
                </c:pt>
                <c:pt idx="6">
                  <c:v>-15</c:v>
                </c:pt>
                <c:pt idx="7">
                  <c:v>-50</c:v>
                </c:pt>
                <c:pt idx="8">
                  <c:v>-50</c:v>
                </c:pt>
                <c:pt idx="9">
                  <c:v>-42.5</c:v>
                </c:pt>
                <c:pt idx="10">
                  <c:v>-42.5</c:v>
                </c:pt>
                <c:pt idx="11">
                  <c:v>-49</c:v>
                </c:pt>
                <c:pt idx="12">
                  <c:v>-49</c:v>
                </c:pt>
                <c:pt idx="13">
                  <c:v>-5</c:v>
                </c:pt>
                <c:pt idx="14">
                  <c:v>-5</c:v>
                </c:pt>
                <c:pt idx="15">
                  <c:v>-35</c:v>
                </c:pt>
                <c:pt idx="16">
                  <c:v>-35</c:v>
                </c:pt>
                <c:pt idx="17">
                  <c:v>-10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-15</c:v>
                </c:pt>
                <c:pt idx="23">
                  <c:v>-15</c:v>
                </c:pt>
                <c:pt idx="24">
                  <c:v>-20</c:v>
                </c:pt>
                <c:pt idx="25">
                  <c:v>-20</c:v>
                </c:pt>
                <c:pt idx="26">
                  <c:v>-12.5</c:v>
                </c:pt>
                <c:pt idx="27">
                  <c:v>-12.5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3-468F-8006-48734D2F3F3D}"/>
            </c:ext>
          </c:extLst>
        </c:ser>
        <c:ser>
          <c:idx val="2"/>
          <c:order val="3"/>
          <c:tx>
            <c:strRef>
              <c:f>Data!$H$1</c:f>
              <c:strCache>
                <c:ptCount val="1"/>
                <c:pt idx="0">
                  <c:v>High</c:v>
                </c:pt>
              </c:strCache>
            </c:strRef>
          </c:tx>
          <c:spPr>
            <a:noFill/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Data!$A$2:$A$29</c:f>
              <c:strCache>
                <c:ptCount val="28"/>
                <c:pt idx="0">
                  <c:v>HeadFlexion</c:v>
                </c:pt>
                <c:pt idx="1">
                  <c:v>HeadLateral</c:v>
                </c:pt>
                <c:pt idx="2">
                  <c:v>HeadRotation</c:v>
                </c:pt>
                <c:pt idx="3">
                  <c:v>UpperArmFlexionRT</c:v>
                </c:pt>
                <c:pt idx="4">
                  <c:v>UpperArmFlexionLT</c:v>
                </c:pt>
                <c:pt idx="5">
                  <c:v>UpperArmElevationRT</c:v>
                </c:pt>
                <c:pt idx="6">
                  <c:v>UpperArmElevationLT</c:v>
                </c:pt>
                <c:pt idx="7">
                  <c:v>HumeralRotationRT</c:v>
                </c:pt>
                <c:pt idx="8">
                  <c:v>HumeralRotationLT</c:v>
                </c:pt>
                <c:pt idx="9">
                  <c:v>ElbowFlexionIncludedRT</c:v>
                </c:pt>
                <c:pt idx="10">
                  <c:v>ElbowFlexionIncludedLT</c:v>
                </c:pt>
                <c:pt idx="11">
                  <c:v>ForearmTwistRT</c:v>
                </c:pt>
                <c:pt idx="12">
                  <c:v>ForearmTwistLT</c:v>
                </c:pt>
                <c:pt idx="13">
                  <c:v>WristUlnarDeviationRT</c:v>
                </c:pt>
                <c:pt idx="14">
                  <c:v>WristUlnarDeviationLT</c:v>
                </c:pt>
                <c:pt idx="15">
                  <c:v>WristFlexionRT</c:v>
                </c:pt>
                <c:pt idx="16">
                  <c:v>WristFlexionLT</c:v>
                </c:pt>
                <c:pt idx="17">
                  <c:v>TorsoRecline</c:v>
                </c:pt>
                <c:pt idx="18">
                  <c:v>TrunkThighRT</c:v>
                </c:pt>
                <c:pt idx="19">
                  <c:v>TrunkThighLT</c:v>
                </c:pt>
                <c:pt idx="20">
                  <c:v>LegSplayRT</c:v>
                </c:pt>
                <c:pt idx="21">
                  <c:v>LegSplayLT</c:v>
                </c:pt>
                <c:pt idx="22">
                  <c:v>ThighRotationRT</c:v>
                </c:pt>
                <c:pt idx="23">
                  <c:v>ThighRotationLT</c:v>
                </c:pt>
                <c:pt idx="24">
                  <c:v>KneeFlexionRT</c:v>
                </c:pt>
                <c:pt idx="25">
                  <c:v>KneeFlexionLT</c:v>
                </c:pt>
                <c:pt idx="26">
                  <c:v>AnklePlantarDorsiFlexionRT</c:v>
                </c:pt>
                <c:pt idx="27">
                  <c:v>AnklePlantarDorsiFlexionLT</c:v>
                </c:pt>
              </c:strCache>
            </c:strRef>
          </c:cat>
          <c:val>
            <c:numRef>
              <c:f>Data!$H$2:$H$29</c:f>
              <c:numCache>
                <c:formatCode>0.0</c:formatCode>
                <c:ptCount val="28"/>
                <c:pt idx="0">
                  <c:v>30</c:v>
                </c:pt>
                <c:pt idx="1">
                  <c:v>20</c:v>
                </c:pt>
                <c:pt idx="2">
                  <c:v>45</c:v>
                </c:pt>
                <c:pt idx="3">
                  <c:v>25</c:v>
                </c:pt>
                <c:pt idx="4">
                  <c:v>25</c:v>
                </c:pt>
                <c:pt idx="5">
                  <c:v>15</c:v>
                </c:pt>
                <c:pt idx="6">
                  <c:v>15</c:v>
                </c:pt>
                <c:pt idx="7">
                  <c:v>50</c:v>
                </c:pt>
                <c:pt idx="8">
                  <c:v>50</c:v>
                </c:pt>
                <c:pt idx="9">
                  <c:v>42.5</c:v>
                </c:pt>
                <c:pt idx="10">
                  <c:v>42.5</c:v>
                </c:pt>
                <c:pt idx="11">
                  <c:v>49</c:v>
                </c:pt>
                <c:pt idx="12">
                  <c:v>49</c:v>
                </c:pt>
                <c:pt idx="13">
                  <c:v>5</c:v>
                </c:pt>
                <c:pt idx="14">
                  <c:v>5</c:v>
                </c:pt>
                <c:pt idx="15">
                  <c:v>35</c:v>
                </c:pt>
                <c:pt idx="16">
                  <c:v>35</c:v>
                </c:pt>
                <c:pt idx="17">
                  <c:v>10</c:v>
                </c:pt>
                <c:pt idx="18">
                  <c:v>12.5</c:v>
                </c:pt>
                <c:pt idx="19">
                  <c:v>12.5</c:v>
                </c:pt>
                <c:pt idx="20">
                  <c:v>12.5</c:v>
                </c:pt>
                <c:pt idx="21">
                  <c:v>12.5</c:v>
                </c:pt>
                <c:pt idx="22">
                  <c:v>15</c:v>
                </c:pt>
                <c:pt idx="23">
                  <c:v>15</c:v>
                </c:pt>
                <c:pt idx="24">
                  <c:v>20</c:v>
                </c:pt>
                <c:pt idx="25">
                  <c:v>20</c:v>
                </c:pt>
                <c:pt idx="26">
                  <c:v>12.5</c:v>
                </c:pt>
                <c:pt idx="27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53-468F-8006-48734D2F3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7063775"/>
        <c:axId val="1230410735"/>
      </c:barChart>
      <c:catAx>
        <c:axId val="13170637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230410735"/>
        <c:crosses val="autoZero"/>
        <c:auto val="1"/>
        <c:lblAlgn val="ctr"/>
        <c:lblOffset val="100"/>
        <c:noMultiLvlLbl val="0"/>
      </c:catAx>
      <c:valAx>
        <c:axId val="1230410735"/>
        <c:scaling>
          <c:orientation val="minMax"/>
          <c:max val="60"/>
          <c:min val="-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chemeClr val="tx1"/>
                    </a:solidFill>
                  </a:rPr>
                  <a:t>Angle Value Relative to Mode</a:t>
                </a:r>
              </a:p>
            </c:rich>
          </c:tx>
          <c:layout>
            <c:manualLayout>
              <c:xMode val="edge"/>
              <c:yMode val="edge"/>
              <c:x val="0.17467157697080404"/>
              <c:y val="0.96544843326413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17063775"/>
        <c:crosses val="autoZero"/>
        <c:crossBetween val="between"/>
        <c:majorUnit val="20"/>
        <c:minorUnit val="10"/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32083140661351"/>
          <c:y val="6.1568368742736482E-2"/>
          <c:w val="0.792433605067978"/>
          <c:h val="0.84417432962879235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Data!$I$1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Data!$A$2:$A$29</c:f>
              <c:strCache>
                <c:ptCount val="28"/>
                <c:pt idx="0">
                  <c:v>HeadFlexion</c:v>
                </c:pt>
                <c:pt idx="1">
                  <c:v>HeadLateral</c:v>
                </c:pt>
                <c:pt idx="2">
                  <c:v>HeadRotation</c:v>
                </c:pt>
                <c:pt idx="3">
                  <c:v>UpperArmFlexionRT</c:v>
                </c:pt>
                <c:pt idx="4">
                  <c:v>UpperArmFlexionLT</c:v>
                </c:pt>
                <c:pt idx="5">
                  <c:v>UpperArmElevationRT</c:v>
                </c:pt>
                <c:pt idx="6">
                  <c:v>UpperArmElevationLT</c:v>
                </c:pt>
                <c:pt idx="7">
                  <c:v>HumeralRotationRT</c:v>
                </c:pt>
                <c:pt idx="8">
                  <c:v>HumeralRotationLT</c:v>
                </c:pt>
                <c:pt idx="9">
                  <c:v>ElbowFlexionIncludedRT</c:v>
                </c:pt>
                <c:pt idx="10">
                  <c:v>ElbowFlexionIncludedLT</c:v>
                </c:pt>
                <c:pt idx="11">
                  <c:v>ForearmTwistRT</c:v>
                </c:pt>
                <c:pt idx="12">
                  <c:v>ForearmTwistLT</c:v>
                </c:pt>
                <c:pt idx="13">
                  <c:v>WristUlnarDeviationRT</c:v>
                </c:pt>
                <c:pt idx="14">
                  <c:v>WristUlnarDeviationLT</c:v>
                </c:pt>
                <c:pt idx="15">
                  <c:v>WristFlexionRT</c:v>
                </c:pt>
                <c:pt idx="16">
                  <c:v>WristFlexionLT</c:v>
                </c:pt>
                <c:pt idx="17">
                  <c:v>TorsoRecline</c:v>
                </c:pt>
                <c:pt idx="18">
                  <c:v>TrunkThighRT</c:v>
                </c:pt>
                <c:pt idx="19">
                  <c:v>TrunkThighLT</c:v>
                </c:pt>
                <c:pt idx="20">
                  <c:v>LegSplayRT</c:v>
                </c:pt>
                <c:pt idx="21">
                  <c:v>LegSplayLT</c:v>
                </c:pt>
                <c:pt idx="22">
                  <c:v>ThighRotationRT</c:v>
                </c:pt>
                <c:pt idx="23">
                  <c:v>ThighRotationLT</c:v>
                </c:pt>
                <c:pt idx="24">
                  <c:v>KneeFlexionRT</c:v>
                </c:pt>
                <c:pt idx="25">
                  <c:v>KneeFlexionLT</c:v>
                </c:pt>
                <c:pt idx="26">
                  <c:v>AnklePlantarDorsiFlexionRT</c:v>
                </c:pt>
                <c:pt idx="27">
                  <c:v>AnklePlantarDorsiFlexionLT</c:v>
                </c:pt>
              </c:strCache>
            </c:strRef>
          </c:cat>
          <c:val>
            <c:numRef>
              <c:f>Data!$I$2:$I$29</c:f>
              <c:numCache>
                <c:formatCode>0.0</c:formatCode>
                <c:ptCount val="28"/>
                <c:pt idx="0">
                  <c:v>-2.2882064427584002E-9</c:v>
                </c:pt>
                <c:pt idx="1">
                  <c:v>1.3784763832989999E-5</c:v>
                </c:pt>
                <c:pt idx="2">
                  <c:v>3.4042843956403003E-5</c:v>
                </c:pt>
                <c:pt idx="3">
                  <c:v>-9.8976263396729003</c:v>
                </c:pt>
                <c:pt idx="4">
                  <c:v>-9.8975423604839499</c:v>
                </c:pt>
                <c:pt idx="5">
                  <c:v>-7.0509573116819002</c:v>
                </c:pt>
                <c:pt idx="6">
                  <c:v>-7.0517452600860997</c:v>
                </c:pt>
                <c:pt idx="7">
                  <c:v>10.005402703036534</c:v>
                </c:pt>
                <c:pt idx="8">
                  <c:v>10.004871741890922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-4.4625571272229703</c:v>
                </c:pt>
                <c:pt idx="14">
                  <c:v>-4.4625594742479198</c:v>
                </c:pt>
                <c:pt idx="15">
                  <c:v>-9.9972266278820818</c:v>
                </c:pt>
                <c:pt idx="16">
                  <c:v>-9.9976347848109892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4.5398113643479991</c:v>
                </c:pt>
                <c:pt idx="21">
                  <c:v>4.5685612739970001</c:v>
                </c:pt>
                <c:pt idx="22">
                  <c:v>-1.9802672486588</c:v>
                </c:pt>
                <c:pt idx="23">
                  <c:v>-1.9806645241148999</c:v>
                </c:pt>
                <c:pt idx="24">
                  <c:v>#N/A</c:v>
                </c:pt>
                <c:pt idx="25">
                  <c:v>#N/A</c:v>
                </c:pt>
                <c:pt idx="26">
                  <c:v>-7.5</c:v>
                </c:pt>
                <c:pt idx="27">
                  <c:v>-7.5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97-40B7-B160-2E9D1A11ECFE}"/>
            </c:ext>
          </c:extLst>
        </c:ser>
        <c:ser>
          <c:idx val="4"/>
          <c:order val="1"/>
          <c:tx>
            <c:strRef>
              <c:f>Data!$J$1</c:f>
              <c:strCache>
                <c:ptCount val="1"/>
                <c:pt idx="0">
                  <c:v>NOK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Data!$A$2:$A$29</c:f>
              <c:strCache>
                <c:ptCount val="28"/>
                <c:pt idx="0">
                  <c:v>HeadFlexion</c:v>
                </c:pt>
                <c:pt idx="1">
                  <c:v>HeadLateral</c:v>
                </c:pt>
                <c:pt idx="2">
                  <c:v>HeadRotation</c:v>
                </c:pt>
                <c:pt idx="3">
                  <c:v>UpperArmFlexionRT</c:v>
                </c:pt>
                <c:pt idx="4">
                  <c:v>UpperArmFlexionLT</c:v>
                </c:pt>
                <c:pt idx="5">
                  <c:v>UpperArmElevationRT</c:v>
                </c:pt>
                <c:pt idx="6">
                  <c:v>UpperArmElevationLT</c:v>
                </c:pt>
                <c:pt idx="7">
                  <c:v>HumeralRotationRT</c:v>
                </c:pt>
                <c:pt idx="8">
                  <c:v>HumeralRotationLT</c:v>
                </c:pt>
                <c:pt idx="9">
                  <c:v>ElbowFlexionIncludedRT</c:v>
                </c:pt>
                <c:pt idx="10">
                  <c:v>ElbowFlexionIncludedLT</c:v>
                </c:pt>
                <c:pt idx="11">
                  <c:v>ForearmTwistRT</c:v>
                </c:pt>
                <c:pt idx="12">
                  <c:v>ForearmTwistLT</c:v>
                </c:pt>
                <c:pt idx="13">
                  <c:v>WristUlnarDeviationRT</c:v>
                </c:pt>
                <c:pt idx="14">
                  <c:v>WristUlnarDeviationLT</c:v>
                </c:pt>
                <c:pt idx="15">
                  <c:v>WristFlexionRT</c:v>
                </c:pt>
                <c:pt idx="16">
                  <c:v>WristFlexionLT</c:v>
                </c:pt>
                <c:pt idx="17">
                  <c:v>TorsoRecline</c:v>
                </c:pt>
                <c:pt idx="18">
                  <c:v>TrunkThighRT</c:v>
                </c:pt>
                <c:pt idx="19">
                  <c:v>TrunkThighLT</c:v>
                </c:pt>
                <c:pt idx="20">
                  <c:v>LegSplayRT</c:v>
                </c:pt>
                <c:pt idx="21">
                  <c:v>LegSplayLT</c:v>
                </c:pt>
                <c:pt idx="22">
                  <c:v>ThighRotationRT</c:v>
                </c:pt>
                <c:pt idx="23">
                  <c:v>ThighRotationLT</c:v>
                </c:pt>
                <c:pt idx="24">
                  <c:v>KneeFlexionRT</c:v>
                </c:pt>
                <c:pt idx="25">
                  <c:v>KneeFlexionLT</c:v>
                </c:pt>
                <c:pt idx="26">
                  <c:v>AnklePlantarDorsiFlexionRT</c:v>
                </c:pt>
                <c:pt idx="27">
                  <c:v>AnklePlantarDorsiFlexionLT</c:v>
                </c:pt>
              </c:strCache>
            </c:strRef>
          </c:cat>
          <c:val>
            <c:numRef>
              <c:f>Data!$J$2:$J$29</c:f>
              <c:numCache>
                <c:formatCode>General</c:formatCode>
                <c:ptCount val="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44.061336541830002</c:v>
                </c:pt>
                <c:pt idx="10">
                  <c:v>44.062861578299987</c:v>
                </c:pt>
                <c:pt idx="11">
                  <c:v>-49.215112326556671</c:v>
                </c:pt>
                <c:pt idx="12">
                  <c:v>-49.215112487144687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-17.449353004361399</c:v>
                </c:pt>
                <c:pt idx="18">
                  <c:v>61.812826148289986</c:v>
                </c:pt>
                <c:pt idx="19">
                  <c:v>61.812915874059996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53.417526628189989</c:v>
                </c:pt>
                <c:pt idx="25">
                  <c:v>53.469344603970001</c:v>
                </c:pt>
                <c:pt idx="26">
                  <c:v>#N/A</c:v>
                </c:pt>
                <c:pt idx="2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97-40B7-B160-2E9D1A11ECFE}"/>
            </c:ext>
          </c:extLst>
        </c:ser>
        <c:ser>
          <c:idx val="0"/>
          <c:order val="2"/>
          <c:tx>
            <c:strRef>
              <c:f>Data!$F$1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Data!$A$2:$A$29</c:f>
              <c:strCache>
                <c:ptCount val="28"/>
                <c:pt idx="0">
                  <c:v>HeadFlexion</c:v>
                </c:pt>
                <c:pt idx="1">
                  <c:v>HeadLateral</c:v>
                </c:pt>
                <c:pt idx="2">
                  <c:v>HeadRotation</c:v>
                </c:pt>
                <c:pt idx="3">
                  <c:v>UpperArmFlexionRT</c:v>
                </c:pt>
                <c:pt idx="4">
                  <c:v>UpperArmFlexionLT</c:v>
                </c:pt>
                <c:pt idx="5">
                  <c:v>UpperArmElevationRT</c:v>
                </c:pt>
                <c:pt idx="6">
                  <c:v>UpperArmElevationLT</c:v>
                </c:pt>
                <c:pt idx="7">
                  <c:v>HumeralRotationRT</c:v>
                </c:pt>
                <c:pt idx="8">
                  <c:v>HumeralRotationLT</c:v>
                </c:pt>
                <c:pt idx="9">
                  <c:v>ElbowFlexionIncludedRT</c:v>
                </c:pt>
                <c:pt idx="10">
                  <c:v>ElbowFlexionIncludedLT</c:v>
                </c:pt>
                <c:pt idx="11">
                  <c:v>ForearmTwistRT</c:v>
                </c:pt>
                <c:pt idx="12">
                  <c:v>ForearmTwistLT</c:v>
                </c:pt>
                <c:pt idx="13">
                  <c:v>WristUlnarDeviationRT</c:v>
                </c:pt>
                <c:pt idx="14">
                  <c:v>WristUlnarDeviationLT</c:v>
                </c:pt>
                <c:pt idx="15">
                  <c:v>WristFlexionRT</c:v>
                </c:pt>
                <c:pt idx="16">
                  <c:v>WristFlexionLT</c:v>
                </c:pt>
                <c:pt idx="17">
                  <c:v>TorsoRecline</c:v>
                </c:pt>
                <c:pt idx="18">
                  <c:v>TrunkThighRT</c:v>
                </c:pt>
                <c:pt idx="19">
                  <c:v>TrunkThighLT</c:v>
                </c:pt>
                <c:pt idx="20">
                  <c:v>LegSplayRT</c:v>
                </c:pt>
                <c:pt idx="21">
                  <c:v>LegSplayLT</c:v>
                </c:pt>
                <c:pt idx="22">
                  <c:v>ThighRotationRT</c:v>
                </c:pt>
                <c:pt idx="23">
                  <c:v>ThighRotationLT</c:v>
                </c:pt>
                <c:pt idx="24">
                  <c:v>KneeFlexionRT</c:v>
                </c:pt>
                <c:pt idx="25">
                  <c:v>KneeFlexionLT</c:v>
                </c:pt>
                <c:pt idx="26">
                  <c:v>AnklePlantarDorsiFlexionRT</c:v>
                </c:pt>
                <c:pt idx="27">
                  <c:v>AnklePlantarDorsiFlexionLT</c:v>
                </c:pt>
              </c:strCache>
            </c:strRef>
          </c:cat>
          <c:val>
            <c:numRef>
              <c:f>Data!$F$2:$F$29</c:f>
              <c:numCache>
                <c:formatCode>0.0</c:formatCode>
                <c:ptCount val="28"/>
                <c:pt idx="0">
                  <c:v>-30</c:v>
                </c:pt>
                <c:pt idx="1">
                  <c:v>-20</c:v>
                </c:pt>
                <c:pt idx="2">
                  <c:v>-45</c:v>
                </c:pt>
                <c:pt idx="3">
                  <c:v>-25</c:v>
                </c:pt>
                <c:pt idx="4">
                  <c:v>-25</c:v>
                </c:pt>
                <c:pt idx="5">
                  <c:v>-15</c:v>
                </c:pt>
                <c:pt idx="6">
                  <c:v>-15</c:v>
                </c:pt>
                <c:pt idx="7">
                  <c:v>-50</c:v>
                </c:pt>
                <c:pt idx="8">
                  <c:v>-50</c:v>
                </c:pt>
                <c:pt idx="9">
                  <c:v>-42.5</c:v>
                </c:pt>
                <c:pt idx="10">
                  <c:v>-42.5</c:v>
                </c:pt>
                <c:pt idx="11">
                  <c:v>-49</c:v>
                </c:pt>
                <c:pt idx="12">
                  <c:v>-49</c:v>
                </c:pt>
                <c:pt idx="13">
                  <c:v>-5</c:v>
                </c:pt>
                <c:pt idx="14">
                  <c:v>-5</c:v>
                </c:pt>
                <c:pt idx="15">
                  <c:v>-35</c:v>
                </c:pt>
                <c:pt idx="16">
                  <c:v>-35</c:v>
                </c:pt>
                <c:pt idx="17">
                  <c:v>-10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-15</c:v>
                </c:pt>
                <c:pt idx="23">
                  <c:v>-15</c:v>
                </c:pt>
                <c:pt idx="24">
                  <c:v>-20</c:v>
                </c:pt>
                <c:pt idx="25">
                  <c:v>-20</c:v>
                </c:pt>
                <c:pt idx="26">
                  <c:v>-12.5</c:v>
                </c:pt>
                <c:pt idx="27">
                  <c:v>-12.5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7-40B7-B160-2E9D1A11ECFE}"/>
            </c:ext>
          </c:extLst>
        </c:ser>
        <c:ser>
          <c:idx val="2"/>
          <c:order val="3"/>
          <c:tx>
            <c:strRef>
              <c:f>Data!$H$1</c:f>
              <c:strCache>
                <c:ptCount val="1"/>
                <c:pt idx="0">
                  <c:v>High</c:v>
                </c:pt>
              </c:strCache>
            </c:strRef>
          </c:tx>
          <c:spPr>
            <a:noFill/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Data!$A$2:$A$29</c:f>
              <c:strCache>
                <c:ptCount val="28"/>
                <c:pt idx="0">
                  <c:v>HeadFlexion</c:v>
                </c:pt>
                <c:pt idx="1">
                  <c:v>HeadLateral</c:v>
                </c:pt>
                <c:pt idx="2">
                  <c:v>HeadRotation</c:v>
                </c:pt>
                <c:pt idx="3">
                  <c:v>UpperArmFlexionRT</c:v>
                </c:pt>
                <c:pt idx="4">
                  <c:v>UpperArmFlexionLT</c:v>
                </c:pt>
                <c:pt idx="5">
                  <c:v>UpperArmElevationRT</c:v>
                </c:pt>
                <c:pt idx="6">
                  <c:v>UpperArmElevationLT</c:v>
                </c:pt>
                <c:pt idx="7">
                  <c:v>HumeralRotationRT</c:v>
                </c:pt>
                <c:pt idx="8">
                  <c:v>HumeralRotationLT</c:v>
                </c:pt>
                <c:pt idx="9">
                  <c:v>ElbowFlexionIncludedRT</c:v>
                </c:pt>
                <c:pt idx="10">
                  <c:v>ElbowFlexionIncludedLT</c:v>
                </c:pt>
                <c:pt idx="11">
                  <c:v>ForearmTwistRT</c:v>
                </c:pt>
                <c:pt idx="12">
                  <c:v>ForearmTwistLT</c:v>
                </c:pt>
                <c:pt idx="13">
                  <c:v>WristUlnarDeviationRT</c:v>
                </c:pt>
                <c:pt idx="14">
                  <c:v>WristUlnarDeviationLT</c:v>
                </c:pt>
                <c:pt idx="15">
                  <c:v>WristFlexionRT</c:v>
                </c:pt>
                <c:pt idx="16">
                  <c:v>WristFlexionLT</c:v>
                </c:pt>
                <c:pt idx="17">
                  <c:v>TorsoRecline</c:v>
                </c:pt>
                <c:pt idx="18">
                  <c:v>TrunkThighRT</c:v>
                </c:pt>
                <c:pt idx="19">
                  <c:v>TrunkThighLT</c:v>
                </c:pt>
                <c:pt idx="20">
                  <c:v>LegSplayRT</c:v>
                </c:pt>
                <c:pt idx="21">
                  <c:v>LegSplayLT</c:v>
                </c:pt>
                <c:pt idx="22">
                  <c:v>ThighRotationRT</c:v>
                </c:pt>
                <c:pt idx="23">
                  <c:v>ThighRotationLT</c:v>
                </c:pt>
                <c:pt idx="24">
                  <c:v>KneeFlexionRT</c:v>
                </c:pt>
                <c:pt idx="25">
                  <c:v>KneeFlexionLT</c:v>
                </c:pt>
                <c:pt idx="26">
                  <c:v>AnklePlantarDorsiFlexionRT</c:v>
                </c:pt>
                <c:pt idx="27">
                  <c:v>AnklePlantarDorsiFlexionLT</c:v>
                </c:pt>
              </c:strCache>
            </c:strRef>
          </c:cat>
          <c:val>
            <c:numRef>
              <c:f>Data!$H$2:$H$29</c:f>
              <c:numCache>
                <c:formatCode>0.0</c:formatCode>
                <c:ptCount val="28"/>
                <c:pt idx="0">
                  <c:v>30</c:v>
                </c:pt>
                <c:pt idx="1">
                  <c:v>20</c:v>
                </c:pt>
                <c:pt idx="2">
                  <c:v>45</c:v>
                </c:pt>
                <c:pt idx="3">
                  <c:v>25</c:v>
                </c:pt>
                <c:pt idx="4">
                  <c:v>25</c:v>
                </c:pt>
                <c:pt idx="5">
                  <c:v>15</c:v>
                </c:pt>
                <c:pt idx="6">
                  <c:v>15</c:v>
                </c:pt>
                <c:pt idx="7">
                  <c:v>50</c:v>
                </c:pt>
                <c:pt idx="8">
                  <c:v>50</c:v>
                </c:pt>
                <c:pt idx="9">
                  <c:v>42.5</c:v>
                </c:pt>
                <c:pt idx="10">
                  <c:v>42.5</c:v>
                </c:pt>
                <c:pt idx="11">
                  <c:v>49</c:v>
                </c:pt>
                <c:pt idx="12">
                  <c:v>49</c:v>
                </c:pt>
                <c:pt idx="13">
                  <c:v>5</c:v>
                </c:pt>
                <c:pt idx="14">
                  <c:v>5</c:v>
                </c:pt>
                <c:pt idx="15">
                  <c:v>35</c:v>
                </c:pt>
                <c:pt idx="16">
                  <c:v>35</c:v>
                </c:pt>
                <c:pt idx="17">
                  <c:v>10</c:v>
                </c:pt>
                <c:pt idx="18">
                  <c:v>12.5</c:v>
                </c:pt>
                <c:pt idx="19">
                  <c:v>12.5</c:v>
                </c:pt>
                <c:pt idx="20">
                  <c:v>12.5</c:v>
                </c:pt>
                <c:pt idx="21">
                  <c:v>12.5</c:v>
                </c:pt>
                <c:pt idx="22">
                  <c:v>15</c:v>
                </c:pt>
                <c:pt idx="23">
                  <c:v>15</c:v>
                </c:pt>
                <c:pt idx="24">
                  <c:v>20</c:v>
                </c:pt>
                <c:pt idx="25">
                  <c:v>20</c:v>
                </c:pt>
                <c:pt idx="26">
                  <c:v>12.5</c:v>
                </c:pt>
                <c:pt idx="27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97-40B7-B160-2E9D1A11E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7063775"/>
        <c:axId val="1230410735"/>
      </c:barChart>
      <c:catAx>
        <c:axId val="131706377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230410735"/>
        <c:crosses val="autoZero"/>
        <c:auto val="1"/>
        <c:lblAlgn val="ctr"/>
        <c:lblOffset val="100"/>
        <c:noMultiLvlLbl val="0"/>
      </c:catAx>
      <c:valAx>
        <c:axId val="1230410735"/>
        <c:scaling>
          <c:orientation val="minMax"/>
          <c:max val="60"/>
          <c:min val="-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</a:rPr>
                  <a:t>Angle Value Relative to Mode</a:t>
                </a:r>
              </a:p>
            </c:rich>
          </c:tx>
          <c:layout>
            <c:manualLayout>
              <c:xMode val="edge"/>
              <c:yMode val="edge"/>
              <c:x val="0.48162447449219004"/>
              <c:y val="0.95154176220317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17063775"/>
        <c:crosses val="autoZero"/>
        <c:crossBetween val="between"/>
        <c:minorUnit val="10"/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1844567</xdr:colOff>
      <xdr:row>0</xdr:row>
      <xdr:rowOff>94593</xdr:rowOff>
    </xdr:from>
    <xdr:to>
      <xdr:col>2</xdr:col>
      <xdr:colOff>101491</xdr:colOff>
      <xdr:row>30</xdr:row>
      <xdr:rowOff>220718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4C5508-A9B2-48CA-AEE6-5BB7531D1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418146</xdr:colOff>
      <xdr:row>30</xdr:row>
      <xdr:rowOff>157162</xdr:rowOff>
    </xdr:from>
    <xdr:to>
      <xdr:col>9</xdr:col>
      <xdr:colOff>567690</xdr:colOff>
      <xdr:row>59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5E943F-228C-9F2D-8EB6-7E5CEBC9E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9AB1-9DB8-44EB-B99D-E0D8FAAAD0BD}">
  <dimension ref="A1:J31"/>
  <sheetViews>
    <sheetView zoomScale="235" zoomScaleNormal="235" workbookViewId="0">
      <selection activeCell="I8" sqref="I8"/>
    </sheetView>
  </sheetViews>
  <sheetFormatPr defaultRowHeight="15" x14ac:dyDescent="0.25"/>
  <cols>
    <col min="1" max="1" width="28.28515625" bestFit="1" customWidth="1"/>
    <col min="2" max="2" width="31.28515625" customWidth="1"/>
    <col min="3" max="6" width="6.28515625" customWidth="1"/>
    <col min="7" max="7" width="2.7109375" customWidth="1"/>
  </cols>
  <sheetData>
    <row r="1" spans="1:10" s="1" customFormat="1" ht="20.100000000000001" customHeight="1" x14ac:dyDescent="0.25">
      <c r="A1" s="23" t="s">
        <v>9</v>
      </c>
      <c r="B1" s="14"/>
      <c r="C1" s="15" t="s">
        <v>2</v>
      </c>
      <c r="D1" s="15" t="s">
        <v>3</v>
      </c>
      <c r="E1" s="15" t="s">
        <v>4</v>
      </c>
      <c r="F1" s="15" t="s">
        <v>5</v>
      </c>
      <c r="G1" s="16"/>
      <c r="H1" s="2"/>
      <c r="I1" s="2"/>
      <c r="J1" s="2"/>
    </row>
    <row r="2" spans="1:10" s="1" customFormat="1" ht="15" customHeight="1" x14ac:dyDescent="0.25">
      <c r="A2" s="17" t="str">
        <f>Data!A2</f>
        <v>HeadFlexion</v>
      </c>
      <c r="B2" s="4"/>
      <c r="C2" s="5">
        <f>Data!B2</f>
        <v>-30</v>
      </c>
      <c r="D2" s="6">
        <f>Data!C2</f>
        <v>-2.2882064427584002E-9</v>
      </c>
      <c r="E2" s="5">
        <f>Data!D2</f>
        <v>30</v>
      </c>
      <c r="F2" s="6">
        <f>Data!E2</f>
        <v>0</v>
      </c>
      <c r="G2" s="7"/>
      <c r="H2" s="3"/>
      <c r="I2" s="3"/>
      <c r="J2" s="3"/>
    </row>
    <row r="3" spans="1:10" s="1" customFormat="1" ht="15" customHeight="1" x14ac:dyDescent="0.25">
      <c r="A3" s="17" t="str">
        <f>Data!A3</f>
        <v>HeadLateral</v>
      </c>
      <c r="B3" s="4"/>
      <c r="C3" s="5">
        <f>Data!B3</f>
        <v>-20</v>
      </c>
      <c r="D3" s="6">
        <f>Data!C3</f>
        <v>1.3784763832989999E-5</v>
      </c>
      <c r="E3" s="5">
        <f>Data!D3</f>
        <v>20</v>
      </c>
      <c r="F3" s="6">
        <f>Data!E3</f>
        <v>0</v>
      </c>
      <c r="G3" s="7"/>
      <c r="H3" s="3"/>
      <c r="I3" s="3"/>
      <c r="J3" s="3"/>
    </row>
    <row r="4" spans="1:10" s="1" customFormat="1" ht="15" customHeight="1" x14ac:dyDescent="0.25">
      <c r="A4" s="17" t="str">
        <f>Data!A4</f>
        <v>HeadRotation</v>
      </c>
      <c r="B4" s="4"/>
      <c r="C4" s="5">
        <f>Data!B4</f>
        <v>-45</v>
      </c>
      <c r="D4" s="6">
        <f>Data!C4</f>
        <v>3.4042843956403003E-5</v>
      </c>
      <c r="E4" s="5">
        <f>Data!D4</f>
        <v>45</v>
      </c>
      <c r="F4" s="6">
        <f>Data!E4</f>
        <v>0</v>
      </c>
      <c r="G4" s="7"/>
      <c r="H4" s="3"/>
      <c r="I4" s="3"/>
      <c r="J4" s="3"/>
    </row>
    <row r="5" spans="1:10" s="1" customFormat="1" ht="15" customHeight="1" x14ac:dyDescent="0.25">
      <c r="A5" s="17" t="str">
        <f>Data!A5</f>
        <v>UpperArmFlexionRT</v>
      </c>
      <c r="B5" s="4"/>
      <c r="C5" s="5">
        <f>Data!B5</f>
        <v>-15</v>
      </c>
      <c r="D5" s="6">
        <f>Data!C5</f>
        <v>0.10237366032710001</v>
      </c>
      <c r="E5" s="5">
        <f>Data!D5</f>
        <v>35</v>
      </c>
      <c r="F5" s="6">
        <f>Data!E5</f>
        <v>10</v>
      </c>
      <c r="G5" s="7"/>
      <c r="H5" s="3"/>
      <c r="I5" s="3"/>
      <c r="J5" s="3"/>
    </row>
    <row r="6" spans="1:10" s="1" customFormat="1" ht="15" customHeight="1" x14ac:dyDescent="0.25">
      <c r="A6" s="17" t="str">
        <f>Data!A6</f>
        <v>UpperArmFlexionLT</v>
      </c>
      <c r="B6" s="4"/>
      <c r="C6" s="5">
        <f>Data!B6</f>
        <v>-15</v>
      </c>
      <c r="D6" s="6">
        <f>Data!C7</f>
        <v>7.9490426883180998</v>
      </c>
      <c r="E6" s="5">
        <f>Data!D6</f>
        <v>35</v>
      </c>
      <c r="F6" s="6">
        <f>Data!E6</f>
        <v>10</v>
      </c>
      <c r="G6" s="7"/>
      <c r="H6" s="3"/>
      <c r="I6" s="3"/>
      <c r="J6" s="3"/>
    </row>
    <row r="7" spans="1:10" s="1" customFormat="1" ht="15" customHeight="1" x14ac:dyDescent="0.25">
      <c r="A7" s="17" t="str">
        <f>Data!A7</f>
        <v>UpperArmElevationRT</v>
      </c>
      <c r="B7" s="4"/>
      <c r="C7" s="5">
        <f>Data!B7</f>
        <v>0</v>
      </c>
      <c r="D7" s="6">
        <f>Data!C6</f>
        <v>0.10245763951605</v>
      </c>
      <c r="E7" s="5">
        <f>Data!D7</f>
        <v>30</v>
      </c>
      <c r="F7" s="6">
        <f>Data!E7</f>
        <v>15</v>
      </c>
      <c r="G7" s="7"/>
      <c r="H7" s="3"/>
      <c r="I7" s="3"/>
      <c r="J7" s="3"/>
    </row>
    <row r="8" spans="1:10" s="1" customFormat="1" ht="15" customHeight="1" x14ac:dyDescent="0.25">
      <c r="A8" s="17" t="str">
        <f>Data!A8</f>
        <v>UpperArmElevationLT</v>
      </c>
      <c r="B8" s="4"/>
      <c r="C8" s="5">
        <f>Data!B8</f>
        <v>0</v>
      </c>
      <c r="D8" s="6">
        <f>Data!C8</f>
        <v>7.9482547399139003</v>
      </c>
      <c r="E8" s="5">
        <f>Data!D8</f>
        <v>30</v>
      </c>
      <c r="F8" s="6">
        <f>Data!E8</f>
        <v>15</v>
      </c>
      <c r="G8" s="7"/>
      <c r="H8" s="3"/>
      <c r="I8" s="3"/>
      <c r="J8" s="3"/>
    </row>
    <row r="9" spans="1:10" s="1" customFormat="1" ht="15" customHeight="1" x14ac:dyDescent="0.25">
      <c r="A9" s="17" t="str">
        <f>Data!A9</f>
        <v>HumeralRotationRT</v>
      </c>
      <c r="B9" s="4"/>
      <c r="C9" s="5">
        <f>Data!B9</f>
        <v>-60</v>
      </c>
      <c r="D9" s="6">
        <f>Data!C9</f>
        <v>5.4027030365339998E-3</v>
      </c>
      <c r="E9" s="5">
        <f>Data!D9</f>
        <v>40</v>
      </c>
      <c r="F9" s="6">
        <f>Data!E9</f>
        <v>-10</v>
      </c>
      <c r="G9" s="7"/>
      <c r="H9" s="3"/>
      <c r="I9" s="3"/>
      <c r="J9" s="3"/>
    </row>
    <row r="10" spans="1:10" s="1" customFormat="1" ht="15" customHeight="1" x14ac:dyDescent="0.25">
      <c r="A10" s="17" t="str">
        <f>Data!A10</f>
        <v>HumeralRotationLT</v>
      </c>
      <c r="B10" s="4"/>
      <c r="C10" s="5">
        <f>Data!B10</f>
        <v>-60</v>
      </c>
      <c r="D10" s="6">
        <f>Data!C10</f>
        <v>4.8717418909216999E-3</v>
      </c>
      <c r="E10" s="5">
        <f>Data!D10</f>
        <v>40</v>
      </c>
      <c r="F10" s="6">
        <f>Data!E10</f>
        <v>-10</v>
      </c>
      <c r="G10" s="7"/>
      <c r="H10" s="3"/>
      <c r="I10" s="3"/>
      <c r="J10" s="3"/>
    </row>
    <row r="11" spans="1:10" s="1" customFormat="1" ht="15" customHeight="1" x14ac:dyDescent="0.25">
      <c r="A11" s="17" t="str">
        <f>Data!A11</f>
        <v>ElbowFlexionIncludedRT</v>
      </c>
      <c r="B11" s="4"/>
      <c r="C11" s="5">
        <f>Data!B11</f>
        <v>80</v>
      </c>
      <c r="D11" s="6">
        <f>Data!C11</f>
        <v>166.56133654183</v>
      </c>
      <c r="E11" s="5">
        <f>Data!D11</f>
        <v>165</v>
      </c>
      <c r="F11" s="6">
        <f>Data!E11</f>
        <v>122.5</v>
      </c>
      <c r="G11" s="7"/>
      <c r="H11" s="3"/>
      <c r="I11" s="3"/>
      <c r="J11" s="3"/>
    </row>
    <row r="12" spans="1:10" s="1" customFormat="1" ht="15" customHeight="1" x14ac:dyDescent="0.25">
      <c r="A12" s="17" t="str">
        <f>Data!A12</f>
        <v>ElbowFlexionIncludedLT</v>
      </c>
      <c r="B12" s="4"/>
      <c r="C12" s="5">
        <f>Data!B12</f>
        <v>80</v>
      </c>
      <c r="D12" s="6">
        <f>Data!C12</f>
        <v>166.56286157829999</v>
      </c>
      <c r="E12" s="5">
        <f>Data!D12</f>
        <v>165</v>
      </c>
      <c r="F12" s="6">
        <f>Data!E12</f>
        <v>122.5</v>
      </c>
      <c r="G12" s="7"/>
      <c r="H12" s="3"/>
      <c r="I12" s="3"/>
      <c r="J12" s="3"/>
    </row>
    <row r="13" spans="1:10" ht="15" customHeight="1" x14ac:dyDescent="0.25">
      <c r="A13" s="17" t="str">
        <f>Data!A13</f>
        <v>ForearmTwistRT</v>
      </c>
      <c r="B13" s="9"/>
      <c r="C13" s="5">
        <f>Data!B13</f>
        <v>0</v>
      </c>
      <c r="D13" s="6">
        <f>Data!C13</f>
        <v>-0.21511232655667001</v>
      </c>
      <c r="E13" s="5">
        <f>Data!D13</f>
        <v>98</v>
      </c>
      <c r="F13" s="6">
        <f>Data!E13</f>
        <v>49</v>
      </c>
      <c r="G13" s="10"/>
    </row>
    <row r="14" spans="1:10" ht="15" customHeight="1" x14ac:dyDescent="0.25">
      <c r="A14" s="17" t="str">
        <f>Data!A14</f>
        <v>ForearmTwistLT</v>
      </c>
      <c r="B14" s="9"/>
      <c r="C14" s="5">
        <f>Data!B14</f>
        <v>0</v>
      </c>
      <c r="D14" s="6">
        <f>Data!C14</f>
        <v>-0.21511248714469</v>
      </c>
      <c r="E14" s="5">
        <f>Data!D14</f>
        <v>98</v>
      </c>
      <c r="F14" s="6">
        <f>Data!E14</f>
        <v>49</v>
      </c>
      <c r="G14" s="10"/>
    </row>
    <row r="15" spans="1:10" ht="15" customHeight="1" x14ac:dyDescent="0.25">
      <c r="A15" s="17" t="str">
        <f>Data!A15</f>
        <v>WristUlnarDeviationRT</v>
      </c>
      <c r="B15" s="9"/>
      <c r="C15" s="5">
        <f>Data!B15</f>
        <v>0</v>
      </c>
      <c r="D15" s="6">
        <f>Data!C15</f>
        <v>0.53744287277702996</v>
      </c>
      <c r="E15" s="5">
        <f>Data!D15</f>
        <v>10</v>
      </c>
      <c r="F15" s="6">
        <f>Data!E15</f>
        <v>5</v>
      </c>
      <c r="G15" s="10"/>
    </row>
    <row r="16" spans="1:10" ht="15" customHeight="1" x14ac:dyDescent="0.25">
      <c r="A16" s="17" t="str">
        <f>Data!A16</f>
        <v>WristUlnarDeviationLT</v>
      </c>
      <c r="B16" s="9"/>
      <c r="C16" s="5">
        <f>Data!B16</f>
        <v>0</v>
      </c>
      <c r="D16" s="6">
        <f>Data!C16</f>
        <v>0.53744052575208001</v>
      </c>
      <c r="E16" s="5">
        <f>Data!D16</f>
        <v>10</v>
      </c>
      <c r="F16" s="6">
        <f>Data!E16</f>
        <v>5</v>
      </c>
      <c r="G16" s="10"/>
    </row>
    <row r="17" spans="1:7" ht="15" customHeight="1" x14ac:dyDescent="0.25">
      <c r="A17" s="17" t="str">
        <f>Data!A17</f>
        <v>WristFlexionRT</v>
      </c>
      <c r="B17" s="9"/>
      <c r="C17" s="5">
        <f>Data!B17</f>
        <v>-25</v>
      </c>
      <c r="D17" s="6">
        <f>Data!C17</f>
        <v>2.7733721179185999E-3</v>
      </c>
      <c r="E17" s="5">
        <f>Data!D17</f>
        <v>45</v>
      </c>
      <c r="F17" s="6">
        <f>Data!E17</f>
        <v>10</v>
      </c>
      <c r="G17" s="10"/>
    </row>
    <row r="18" spans="1:7" ht="15" customHeight="1" x14ac:dyDescent="0.25">
      <c r="A18" s="17" t="str">
        <f>Data!A18</f>
        <v>WristFlexionLT</v>
      </c>
      <c r="B18" s="9"/>
      <c r="C18" s="5">
        <f>Data!B18</f>
        <v>-25</v>
      </c>
      <c r="D18" s="6">
        <f>Data!C18</f>
        <v>2.3652151890099001E-3</v>
      </c>
      <c r="E18" s="5">
        <f>Data!D18</f>
        <v>45</v>
      </c>
      <c r="F18" s="6">
        <f>Data!E18</f>
        <v>10</v>
      </c>
      <c r="G18" s="10"/>
    </row>
    <row r="19" spans="1:7" ht="15" customHeight="1" x14ac:dyDescent="0.25">
      <c r="A19" s="17" t="str">
        <f>Data!A19</f>
        <v>TorsoRecline</v>
      </c>
      <c r="B19" s="9"/>
      <c r="C19" s="5">
        <f>Data!B19</f>
        <v>10</v>
      </c>
      <c r="D19" s="6">
        <f>Data!C19</f>
        <v>2.5506469956386</v>
      </c>
      <c r="E19" s="5">
        <f>Data!D19</f>
        <v>30</v>
      </c>
      <c r="F19" s="6">
        <f>Data!E19</f>
        <v>20</v>
      </c>
      <c r="G19" s="10"/>
    </row>
    <row r="20" spans="1:7" ht="15" customHeight="1" x14ac:dyDescent="0.25">
      <c r="A20" s="17" t="str">
        <f>Data!A20</f>
        <v>TrunkThighRT</v>
      </c>
      <c r="B20" s="9"/>
      <c r="C20" s="5">
        <f>Data!B20</f>
        <v>95</v>
      </c>
      <c r="D20" s="6">
        <f>Data!C20</f>
        <v>169.31282614828999</v>
      </c>
      <c r="E20" s="5">
        <f>Data!D20</f>
        <v>120</v>
      </c>
      <c r="F20" s="6">
        <f>Data!E20</f>
        <v>107.5</v>
      </c>
      <c r="G20" s="10"/>
    </row>
    <row r="21" spans="1:7" ht="15" customHeight="1" x14ac:dyDescent="0.25">
      <c r="A21" s="17" t="str">
        <f>Data!A21</f>
        <v>TrunkThighLT</v>
      </c>
      <c r="B21" s="9"/>
      <c r="C21" s="5">
        <f>Data!B21</f>
        <v>95</v>
      </c>
      <c r="D21" s="6">
        <f>Data!C21</f>
        <v>169.31291587406</v>
      </c>
      <c r="E21" s="5">
        <f>Data!D21</f>
        <v>120</v>
      </c>
      <c r="F21" s="6">
        <f>Data!E21</f>
        <v>107.5</v>
      </c>
      <c r="G21" s="10"/>
    </row>
    <row r="22" spans="1:7" ht="15" customHeight="1" x14ac:dyDescent="0.25">
      <c r="A22" s="17" t="str">
        <f>Data!A22</f>
        <v>LegSplayRT</v>
      </c>
      <c r="B22" s="9"/>
      <c r="C22" s="5">
        <f>Data!B22</f>
        <v>-5</v>
      </c>
      <c r="D22" s="6">
        <f>Data!C22</f>
        <v>12.039811364347999</v>
      </c>
      <c r="E22" s="5">
        <f>Data!D22</f>
        <v>20</v>
      </c>
      <c r="F22" s="6">
        <f>Data!E22</f>
        <v>7.5</v>
      </c>
      <c r="G22" s="10"/>
    </row>
    <row r="23" spans="1:7" ht="15" customHeight="1" x14ac:dyDescent="0.25">
      <c r="A23" s="17" t="str">
        <f>Data!A23</f>
        <v>LegSplayLT</v>
      </c>
      <c r="B23" s="9"/>
      <c r="C23" s="5">
        <f>Data!B23</f>
        <v>-5</v>
      </c>
      <c r="D23" s="6">
        <f>Data!C23</f>
        <v>12.068561273997</v>
      </c>
      <c r="E23" s="5">
        <f>Data!D23</f>
        <v>20</v>
      </c>
      <c r="F23" s="6">
        <f>Data!E23</f>
        <v>7.5</v>
      </c>
      <c r="G23" s="10"/>
    </row>
    <row r="24" spans="1:7" ht="15" customHeight="1" x14ac:dyDescent="0.25">
      <c r="A24" s="17" t="str">
        <f>Data!A24</f>
        <v>ThighRotationRT</v>
      </c>
      <c r="B24" s="9"/>
      <c r="C24" s="5">
        <f>Data!B24</f>
        <v>-15</v>
      </c>
      <c r="D24" s="6">
        <f>Data!C24</f>
        <v>-1.9802672486588</v>
      </c>
      <c r="E24" s="5">
        <f>Data!D24</f>
        <v>15</v>
      </c>
      <c r="F24" s="6">
        <f>Data!E24</f>
        <v>0</v>
      </c>
      <c r="G24" s="10"/>
    </row>
    <row r="25" spans="1:7" ht="15" customHeight="1" x14ac:dyDescent="0.25">
      <c r="A25" s="17" t="str">
        <f>Data!A25</f>
        <v>ThighRotationLT</v>
      </c>
      <c r="B25" s="9"/>
      <c r="C25" s="5">
        <f>Data!B25</f>
        <v>-15</v>
      </c>
      <c r="D25" s="6">
        <f>Data!C25</f>
        <v>-1.9806645241148999</v>
      </c>
      <c r="E25" s="5">
        <f>Data!D25</f>
        <v>15</v>
      </c>
      <c r="F25" s="6">
        <f>Data!E25</f>
        <v>0</v>
      </c>
      <c r="G25" s="10"/>
    </row>
    <row r="26" spans="1:7" ht="15" customHeight="1" x14ac:dyDescent="0.25">
      <c r="A26" s="17" t="str">
        <f>Data!A26</f>
        <v>KneeFlexionRT</v>
      </c>
      <c r="B26" s="9"/>
      <c r="C26" s="5">
        <f>Data!B26</f>
        <v>95</v>
      </c>
      <c r="D26" s="6">
        <f>Data!C26</f>
        <v>168.41752662818999</v>
      </c>
      <c r="E26" s="5">
        <f>Data!D26</f>
        <v>135</v>
      </c>
      <c r="F26" s="6">
        <f>Data!E26</f>
        <v>115</v>
      </c>
      <c r="G26" s="10"/>
    </row>
    <row r="27" spans="1:7" ht="15" customHeight="1" x14ac:dyDescent="0.25">
      <c r="A27" s="17" t="str">
        <f>Data!A27</f>
        <v>KneeFlexionLT</v>
      </c>
      <c r="B27" s="9"/>
      <c r="C27" s="5">
        <f>Data!B27</f>
        <v>95</v>
      </c>
      <c r="D27" s="6">
        <f>Data!C27</f>
        <v>168.46934460397</v>
      </c>
      <c r="E27" s="5">
        <f>Data!D27</f>
        <v>135</v>
      </c>
      <c r="F27" s="6">
        <f>Data!E27</f>
        <v>115</v>
      </c>
      <c r="G27" s="10"/>
    </row>
    <row r="28" spans="1:7" ht="15" customHeight="1" x14ac:dyDescent="0.25">
      <c r="A28" s="17" t="str">
        <f>Data!A28</f>
        <v>AnklePlantarDorsiFlexionRT</v>
      </c>
      <c r="B28" s="9"/>
      <c r="C28" s="5">
        <f>Data!B28</f>
        <v>85</v>
      </c>
      <c r="D28" s="6">
        <f>Data!C28</f>
        <v>90</v>
      </c>
      <c r="E28" s="5">
        <f>Data!D28</f>
        <v>110</v>
      </c>
      <c r="F28" s="6">
        <f>Data!E28</f>
        <v>97.5</v>
      </c>
      <c r="G28" s="10"/>
    </row>
    <row r="29" spans="1:7" ht="15" customHeight="1" x14ac:dyDescent="0.25">
      <c r="A29" s="17" t="str">
        <f>Data!A29</f>
        <v>AnklePlantarDorsiFlexionLT</v>
      </c>
      <c r="B29" s="9"/>
      <c r="C29" s="5">
        <f>Data!B29</f>
        <v>85</v>
      </c>
      <c r="D29" s="6">
        <f>Data!C29</f>
        <v>90</v>
      </c>
      <c r="E29" s="5">
        <f>Data!D29</f>
        <v>110</v>
      </c>
      <c r="F29" s="6">
        <f>Data!E29</f>
        <v>97.5</v>
      </c>
      <c r="G29" s="10"/>
    </row>
    <row r="30" spans="1:7" x14ac:dyDescent="0.25">
      <c r="A30" s="8"/>
      <c r="B30" s="9"/>
      <c r="C30" s="9"/>
      <c r="D30" s="9"/>
      <c r="E30" s="9"/>
      <c r="F30" s="9"/>
      <c r="G30" s="10"/>
    </row>
    <row r="31" spans="1:7" ht="19.899999999999999" customHeight="1" thickBot="1" x14ac:dyDescent="0.3">
      <c r="A31" s="11"/>
      <c r="B31" s="12"/>
      <c r="C31" s="12"/>
      <c r="D31" s="12"/>
      <c r="E31" s="12"/>
      <c r="F31" s="12"/>
      <c r="G31" s="13"/>
    </row>
  </sheetData>
  <pageMargins left="0.59055118110236227" right="0.59055118110236227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B39A-3F10-4D69-BFFD-9EC5B5CD28F7}">
  <dimension ref="A1:J29"/>
  <sheetViews>
    <sheetView tabSelected="1" workbookViewId="0">
      <selection activeCell="M6" sqref="M6"/>
    </sheetView>
  </sheetViews>
  <sheetFormatPr defaultRowHeight="15" x14ac:dyDescent="0.25"/>
  <cols>
    <col min="1" max="1" width="28.28515625" bestFit="1" customWidth="1"/>
    <col min="25" max="25" width="19.28515625" bestFit="1" customWidth="1"/>
  </cols>
  <sheetData>
    <row r="1" spans="1:10" x14ac:dyDescent="0.25">
      <c r="A1" s="18" t="s">
        <v>6</v>
      </c>
      <c r="B1" s="18" t="s">
        <v>2</v>
      </c>
      <c r="C1" s="18" t="s">
        <v>3</v>
      </c>
      <c r="D1" s="18" t="s">
        <v>4</v>
      </c>
      <c r="E1" s="18" t="s">
        <v>5</v>
      </c>
      <c r="F1" s="19" t="s">
        <v>2</v>
      </c>
      <c r="G1" s="19" t="s">
        <v>3</v>
      </c>
      <c r="H1" s="19" t="s">
        <v>4</v>
      </c>
      <c r="I1" s="19" t="s">
        <v>7</v>
      </c>
      <c r="J1" s="19" t="s">
        <v>8</v>
      </c>
    </row>
    <row r="2" spans="1:10" x14ac:dyDescent="0.25">
      <c r="A2" s="27" t="s">
        <v>20</v>
      </c>
      <c r="B2" s="26">
        <v>-30</v>
      </c>
      <c r="C2" s="30">
        <v>-2.2882064427584002E-9</v>
      </c>
      <c r="D2" s="26">
        <v>30</v>
      </c>
      <c r="E2" s="26">
        <v>0</v>
      </c>
      <c r="F2" s="21">
        <f t="shared" ref="F2:F29" si="0">B2-$E2</f>
        <v>-30</v>
      </c>
      <c r="G2" s="21">
        <f t="shared" ref="G2:G29" si="1">C2-$E2</f>
        <v>-2.2882064427584002E-9</v>
      </c>
      <c r="H2" s="21">
        <f t="shared" ref="H2:H4" si="2">D2-$E2</f>
        <v>30</v>
      </c>
      <c r="I2" s="21">
        <f t="shared" ref="I2:I4" si="3">IF(F2&lt;G2,IF(G2&lt;H2,G2,NA()),NA())</f>
        <v>-2.2882064427584002E-9</v>
      </c>
      <c r="J2" s="22" t="e">
        <f>IF(F2&gt;G2,G2,IF(G2&gt;H2,G2,NA()))</f>
        <v>#N/A</v>
      </c>
    </row>
    <row r="3" spans="1:10" x14ac:dyDescent="0.25">
      <c r="A3" s="27" t="s">
        <v>21</v>
      </c>
      <c r="B3" s="26">
        <v>-20</v>
      </c>
      <c r="C3" s="31">
        <v>1.3784763832989999E-5</v>
      </c>
      <c r="D3" s="26">
        <v>20</v>
      </c>
      <c r="E3" s="26">
        <v>0</v>
      </c>
      <c r="F3" s="21">
        <f t="shared" si="0"/>
        <v>-20</v>
      </c>
      <c r="G3" s="21">
        <f t="shared" si="1"/>
        <v>1.3784763832989999E-5</v>
      </c>
      <c r="H3" s="21">
        <f t="shared" si="2"/>
        <v>20</v>
      </c>
      <c r="I3" s="21">
        <f t="shared" si="3"/>
        <v>1.3784763832989999E-5</v>
      </c>
      <c r="J3" s="22" t="e">
        <f t="shared" ref="J3:J4" si="4">IF(F3&gt;G3,G3,IF(G3&gt;H3,G3,NA()))</f>
        <v>#N/A</v>
      </c>
    </row>
    <row r="4" spans="1:10" x14ac:dyDescent="0.25">
      <c r="A4" s="27" t="s">
        <v>22</v>
      </c>
      <c r="B4" s="26">
        <v>-45</v>
      </c>
      <c r="C4" s="30">
        <v>3.4042843956403003E-5</v>
      </c>
      <c r="D4" s="26">
        <v>45</v>
      </c>
      <c r="E4" s="26">
        <v>0</v>
      </c>
      <c r="F4" s="21">
        <f t="shared" si="0"/>
        <v>-45</v>
      </c>
      <c r="G4" s="21">
        <f t="shared" si="1"/>
        <v>3.4042843956403003E-5</v>
      </c>
      <c r="H4" s="21">
        <f t="shared" si="2"/>
        <v>45</v>
      </c>
      <c r="I4" s="21">
        <f t="shared" si="3"/>
        <v>3.4042843956403003E-5</v>
      </c>
      <c r="J4" s="22" t="e">
        <f t="shared" si="4"/>
        <v>#N/A</v>
      </c>
    </row>
    <row r="5" spans="1:10" x14ac:dyDescent="0.25">
      <c r="A5" s="20" t="s">
        <v>0</v>
      </c>
      <c r="B5" s="24">
        <v>-15</v>
      </c>
      <c r="C5" s="29">
        <v>0.10237366032710001</v>
      </c>
      <c r="D5" s="24">
        <v>35</v>
      </c>
      <c r="E5" s="25">
        <v>10</v>
      </c>
      <c r="F5" s="21">
        <f t="shared" si="0"/>
        <v>-25</v>
      </c>
      <c r="G5" s="21">
        <f t="shared" si="1"/>
        <v>-9.8976263396729003</v>
      </c>
      <c r="H5" s="21">
        <f>D5-$E5</f>
        <v>25</v>
      </c>
      <c r="I5" s="21">
        <f>IF(F5&lt;G5,IF(G5&lt;H5,G5,NA()),NA())</f>
        <v>-9.8976263396729003</v>
      </c>
      <c r="J5" s="22" t="e">
        <f>IF(F5&gt;G5,G5,IF(G5&gt;H5,G5,NA()))</f>
        <v>#N/A</v>
      </c>
    </row>
    <row r="6" spans="1:10" x14ac:dyDescent="0.25">
      <c r="A6" s="20" t="s">
        <v>1</v>
      </c>
      <c r="B6" s="24">
        <v>-15</v>
      </c>
      <c r="C6" s="28">
        <v>0.10245763951605</v>
      </c>
      <c r="D6" s="24">
        <v>35</v>
      </c>
      <c r="E6" s="25">
        <v>10</v>
      </c>
      <c r="F6" s="21">
        <f t="shared" si="0"/>
        <v>-25</v>
      </c>
      <c r="G6" s="21">
        <f t="shared" si="1"/>
        <v>-9.8975423604839499</v>
      </c>
      <c r="H6" s="21">
        <f t="shared" ref="H6" si="5">D6-$E6</f>
        <v>25</v>
      </c>
      <c r="I6" s="21">
        <f>IF(F6&lt;G6,IF(G6&lt;H6,G6,NA()),NA())</f>
        <v>-9.8975423604839499</v>
      </c>
      <c r="J6" s="22" t="e">
        <f>IF(F6&gt;G6,G6,IF(G6&gt;H6,G6,NA()))</f>
        <v>#N/A</v>
      </c>
    </row>
    <row r="7" spans="1:10" x14ac:dyDescent="0.25">
      <c r="A7" s="27" t="s">
        <v>10</v>
      </c>
      <c r="B7" s="26">
        <v>0</v>
      </c>
      <c r="C7" s="29">
        <v>7.9490426883180998</v>
      </c>
      <c r="D7" s="26">
        <v>30</v>
      </c>
      <c r="E7" s="26">
        <v>15</v>
      </c>
      <c r="F7" s="21">
        <f t="shared" si="0"/>
        <v>-15</v>
      </c>
      <c r="G7" s="21">
        <f t="shared" si="1"/>
        <v>-7.0509573116819002</v>
      </c>
      <c r="H7" s="21">
        <f t="shared" ref="H7:H29" si="6">D7-$E7</f>
        <v>15</v>
      </c>
      <c r="I7" s="21">
        <f t="shared" ref="I7:I29" si="7">IF(F7&lt;G7,IF(G7&lt;H7,G7,NA()),NA())</f>
        <v>-7.0509573116819002</v>
      </c>
      <c r="J7" s="22" t="e">
        <f t="shared" ref="J7:J29" si="8">IF(F7&gt;G7,G7,IF(G7&gt;H7,G7,NA()))</f>
        <v>#N/A</v>
      </c>
    </row>
    <row r="8" spans="1:10" x14ac:dyDescent="0.25">
      <c r="A8" s="27" t="s">
        <v>11</v>
      </c>
      <c r="B8" s="26">
        <v>0</v>
      </c>
      <c r="C8" s="28">
        <v>7.9482547399139003</v>
      </c>
      <c r="D8" s="26">
        <v>30</v>
      </c>
      <c r="E8" s="26">
        <v>15</v>
      </c>
      <c r="F8" s="21">
        <f t="shared" si="0"/>
        <v>-15</v>
      </c>
      <c r="G8" s="21">
        <f t="shared" si="1"/>
        <v>-7.0517452600860997</v>
      </c>
      <c r="H8" s="21">
        <f t="shared" si="6"/>
        <v>15</v>
      </c>
      <c r="I8" s="21">
        <f t="shared" si="7"/>
        <v>-7.0517452600860997</v>
      </c>
      <c r="J8" s="22" t="e">
        <f t="shared" si="8"/>
        <v>#N/A</v>
      </c>
    </row>
    <row r="9" spans="1:10" x14ac:dyDescent="0.25">
      <c r="A9" s="27" t="s">
        <v>12</v>
      </c>
      <c r="B9" s="26">
        <v>-60</v>
      </c>
      <c r="C9" s="29">
        <v>5.4027030365339998E-3</v>
      </c>
      <c r="D9" s="26">
        <v>40</v>
      </c>
      <c r="E9" s="26">
        <v>-10</v>
      </c>
      <c r="F9" s="21">
        <f t="shared" si="0"/>
        <v>-50</v>
      </c>
      <c r="G9" s="21">
        <f t="shared" si="1"/>
        <v>10.005402703036534</v>
      </c>
      <c r="H9" s="21">
        <f t="shared" si="6"/>
        <v>50</v>
      </c>
      <c r="I9" s="21">
        <f t="shared" si="7"/>
        <v>10.005402703036534</v>
      </c>
      <c r="J9" s="22" t="e">
        <f t="shared" si="8"/>
        <v>#N/A</v>
      </c>
    </row>
    <row r="10" spans="1:10" x14ac:dyDescent="0.25">
      <c r="A10" s="27" t="s">
        <v>13</v>
      </c>
      <c r="B10" s="26">
        <v>-60</v>
      </c>
      <c r="C10" s="28">
        <v>4.8717418909216999E-3</v>
      </c>
      <c r="D10" s="26">
        <v>40</v>
      </c>
      <c r="E10" s="26">
        <v>-10</v>
      </c>
      <c r="F10" s="21">
        <f t="shared" si="0"/>
        <v>-50</v>
      </c>
      <c r="G10" s="21">
        <f t="shared" si="1"/>
        <v>10.004871741890922</v>
      </c>
      <c r="H10" s="21">
        <f t="shared" si="6"/>
        <v>50</v>
      </c>
      <c r="I10" s="21">
        <f t="shared" si="7"/>
        <v>10.004871741890922</v>
      </c>
      <c r="J10" s="22" t="e">
        <f t="shared" si="8"/>
        <v>#N/A</v>
      </c>
    </row>
    <row r="11" spans="1:10" x14ac:dyDescent="0.25">
      <c r="A11" s="27" t="s">
        <v>25</v>
      </c>
      <c r="B11" s="24">
        <v>80</v>
      </c>
      <c r="C11" s="29">
        <v>166.56133654183</v>
      </c>
      <c r="D11" s="24">
        <v>165</v>
      </c>
      <c r="E11" s="25">
        <v>122.5</v>
      </c>
      <c r="F11" s="21">
        <f t="shared" si="0"/>
        <v>-42.5</v>
      </c>
      <c r="G11" s="21">
        <f t="shared" si="1"/>
        <v>44.061336541830002</v>
      </c>
      <c r="H11" s="21">
        <f t="shared" si="6"/>
        <v>42.5</v>
      </c>
      <c r="I11" s="21" t="e">
        <f t="shared" si="7"/>
        <v>#N/A</v>
      </c>
      <c r="J11" s="22">
        <f t="shared" si="8"/>
        <v>44.061336541830002</v>
      </c>
    </row>
    <row r="12" spans="1:10" x14ac:dyDescent="0.25">
      <c r="A12" s="27" t="s">
        <v>26</v>
      </c>
      <c r="B12" s="24">
        <v>80</v>
      </c>
      <c r="C12" s="28">
        <v>166.56286157829999</v>
      </c>
      <c r="D12" s="24">
        <v>165</v>
      </c>
      <c r="E12" s="25">
        <v>122.5</v>
      </c>
      <c r="F12" s="21">
        <f t="shared" si="0"/>
        <v>-42.5</v>
      </c>
      <c r="G12" s="21">
        <f t="shared" si="1"/>
        <v>44.062861578299987</v>
      </c>
      <c r="H12" s="21">
        <f t="shared" si="6"/>
        <v>42.5</v>
      </c>
      <c r="I12" s="21" t="e">
        <f t="shared" si="7"/>
        <v>#N/A</v>
      </c>
      <c r="J12" s="22">
        <f t="shared" si="8"/>
        <v>44.062861578299987</v>
      </c>
    </row>
    <row r="13" spans="1:10" x14ac:dyDescent="0.25">
      <c r="A13" s="27" t="s">
        <v>14</v>
      </c>
      <c r="B13" s="26">
        <v>0</v>
      </c>
      <c r="C13" s="29">
        <v>-0.21511232655667001</v>
      </c>
      <c r="D13" s="26">
        <v>98</v>
      </c>
      <c r="E13" s="26">
        <v>49</v>
      </c>
      <c r="F13" s="21">
        <f t="shared" si="0"/>
        <v>-49</v>
      </c>
      <c r="G13" s="21">
        <f t="shared" si="1"/>
        <v>-49.215112326556671</v>
      </c>
      <c r="H13" s="21">
        <f t="shared" si="6"/>
        <v>49</v>
      </c>
      <c r="I13" s="21" t="e">
        <f t="shared" si="7"/>
        <v>#N/A</v>
      </c>
      <c r="J13" s="22">
        <f t="shared" si="8"/>
        <v>-49.215112326556671</v>
      </c>
    </row>
    <row r="14" spans="1:10" x14ac:dyDescent="0.25">
      <c r="A14" s="27" t="s">
        <v>15</v>
      </c>
      <c r="B14" s="26">
        <v>0</v>
      </c>
      <c r="C14" s="28">
        <v>-0.21511248714469</v>
      </c>
      <c r="D14" s="26">
        <v>98</v>
      </c>
      <c r="E14" s="26">
        <v>49</v>
      </c>
      <c r="F14" s="21">
        <f t="shared" si="0"/>
        <v>-49</v>
      </c>
      <c r="G14" s="21">
        <f t="shared" si="1"/>
        <v>-49.215112487144687</v>
      </c>
      <c r="H14" s="21">
        <f t="shared" si="6"/>
        <v>49</v>
      </c>
      <c r="I14" s="21" t="e">
        <f t="shared" si="7"/>
        <v>#N/A</v>
      </c>
      <c r="J14" s="22">
        <f t="shared" si="8"/>
        <v>-49.215112487144687</v>
      </c>
    </row>
    <row r="15" spans="1:10" x14ac:dyDescent="0.25">
      <c r="A15" s="27" t="s">
        <v>16</v>
      </c>
      <c r="B15" s="26">
        <v>0</v>
      </c>
      <c r="C15" s="29">
        <v>0.53744287277702996</v>
      </c>
      <c r="D15" s="26">
        <v>10</v>
      </c>
      <c r="E15" s="26">
        <v>5</v>
      </c>
      <c r="F15" s="21">
        <f t="shared" si="0"/>
        <v>-5</v>
      </c>
      <c r="G15" s="21">
        <f t="shared" si="1"/>
        <v>-4.4625571272229703</v>
      </c>
      <c r="H15" s="21">
        <f t="shared" si="6"/>
        <v>5</v>
      </c>
      <c r="I15" s="21">
        <f t="shared" si="7"/>
        <v>-4.4625571272229703</v>
      </c>
      <c r="J15" s="22" t="e">
        <f t="shared" si="8"/>
        <v>#N/A</v>
      </c>
    </row>
    <row r="16" spans="1:10" x14ac:dyDescent="0.25">
      <c r="A16" s="27" t="s">
        <v>17</v>
      </c>
      <c r="B16" s="26">
        <v>0</v>
      </c>
      <c r="C16" s="28">
        <v>0.53744052575208001</v>
      </c>
      <c r="D16" s="26">
        <v>10</v>
      </c>
      <c r="E16" s="26">
        <v>5</v>
      </c>
      <c r="F16" s="21">
        <f t="shared" si="0"/>
        <v>-5</v>
      </c>
      <c r="G16" s="21">
        <f t="shared" si="1"/>
        <v>-4.4625594742479198</v>
      </c>
      <c r="H16" s="21">
        <f t="shared" si="6"/>
        <v>5</v>
      </c>
      <c r="I16" s="21">
        <f t="shared" si="7"/>
        <v>-4.4625594742479198</v>
      </c>
      <c r="J16" s="22" t="e">
        <f t="shared" si="8"/>
        <v>#N/A</v>
      </c>
    </row>
    <row r="17" spans="1:10" x14ac:dyDescent="0.25">
      <c r="A17" s="27" t="s">
        <v>18</v>
      </c>
      <c r="B17" s="26">
        <v>-25</v>
      </c>
      <c r="C17" s="29">
        <v>2.7733721179185999E-3</v>
      </c>
      <c r="D17" s="26">
        <v>45</v>
      </c>
      <c r="E17" s="26">
        <v>10</v>
      </c>
      <c r="F17" s="21">
        <f t="shared" si="0"/>
        <v>-35</v>
      </c>
      <c r="G17" s="21">
        <f t="shared" si="1"/>
        <v>-9.9972266278820818</v>
      </c>
      <c r="H17" s="21">
        <f t="shared" si="6"/>
        <v>35</v>
      </c>
      <c r="I17" s="21">
        <f t="shared" si="7"/>
        <v>-9.9972266278820818</v>
      </c>
      <c r="J17" s="22" t="e">
        <f t="shared" si="8"/>
        <v>#N/A</v>
      </c>
    </row>
    <row r="18" spans="1:10" x14ac:dyDescent="0.25">
      <c r="A18" s="27" t="s">
        <v>19</v>
      </c>
      <c r="B18" s="26">
        <v>-25</v>
      </c>
      <c r="C18" s="28">
        <v>2.3652151890099001E-3</v>
      </c>
      <c r="D18" s="26">
        <v>45</v>
      </c>
      <c r="E18" s="26">
        <v>10</v>
      </c>
      <c r="F18" s="21">
        <f t="shared" si="0"/>
        <v>-35</v>
      </c>
      <c r="G18" s="21">
        <f t="shared" si="1"/>
        <v>-9.9976347848109892</v>
      </c>
      <c r="H18" s="21">
        <f t="shared" si="6"/>
        <v>35</v>
      </c>
      <c r="I18" s="21">
        <f t="shared" si="7"/>
        <v>-9.9976347848109892</v>
      </c>
      <c r="J18" s="22" t="e">
        <f t="shared" si="8"/>
        <v>#N/A</v>
      </c>
    </row>
    <row r="19" spans="1:10" x14ac:dyDescent="0.25">
      <c r="A19" s="20" t="s">
        <v>27</v>
      </c>
      <c r="B19" s="24">
        <v>10</v>
      </c>
      <c r="C19" s="29">
        <v>2.5506469956386</v>
      </c>
      <c r="D19" s="24">
        <v>30</v>
      </c>
      <c r="E19" s="25">
        <v>20</v>
      </c>
      <c r="F19" s="21">
        <f t="shared" si="0"/>
        <v>-10</v>
      </c>
      <c r="G19" s="21">
        <f t="shared" si="1"/>
        <v>-17.449353004361399</v>
      </c>
      <c r="H19" s="21">
        <f t="shared" si="6"/>
        <v>10</v>
      </c>
      <c r="I19" s="21" t="e">
        <f t="shared" si="7"/>
        <v>#N/A</v>
      </c>
      <c r="J19" s="22">
        <f t="shared" si="8"/>
        <v>-17.449353004361399</v>
      </c>
    </row>
    <row r="20" spans="1:10" x14ac:dyDescent="0.25">
      <c r="A20" s="20" t="s">
        <v>28</v>
      </c>
      <c r="B20" s="24">
        <v>95</v>
      </c>
      <c r="C20" s="28">
        <v>169.31282614828999</v>
      </c>
      <c r="D20" s="24">
        <v>120</v>
      </c>
      <c r="E20" s="25">
        <v>107.5</v>
      </c>
      <c r="F20" s="21">
        <f t="shared" si="0"/>
        <v>-12.5</v>
      </c>
      <c r="G20" s="21">
        <f t="shared" si="1"/>
        <v>61.812826148289986</v>
      </c>
      <c r="H20" s="21">
        <f t="shared" si="6"/>
        <v>12.5</v>
      </c>
      <c r="I20" s="21" t="e">
        <f t="shared" si="7"/>
        <v>#N/A</v>
      </c>
      <c r="J20" s="22">
        <f t="shared" si="8"/>
        <v>61.812826148289986</v>
      </c>
    </row>
    <row r="21" spans="1:10" x14ac:dyDescent="0.25">
      <c r="A21" s="20" t="s">
        <v>29</v>
      </c>
      <c r="B21" s="24">
        <v>95</v>
      </c>
      <c r="C21" s="29">
        <v>169.31291587406</v>
      </c>
      <c r="D21" s="24">
        <v>120</v>
      </c>
      <c r="E21" s="25">
        <v>107.5</v>
      </c>
      <c r="F21" s="21">
        <f t="shared" si="0"/>
        <v>-12.5</v>
      </c>
      <c r="G21" s="21">
        <f t="shared" si="1"/>
        <v>61.812915874059996</v>
      </c>
      <c r="H21" s="21">
        <f t="shared" si="6"/>
        <v>12.5</v>
      </c>
      <c r="I21" s="21" t="e">
        <f t="shared" si="7"/>
        <v>#N/A</v>
      </c>
      <c r="J21" s="22">
        <f t="shared" si="8"/>
        <v>61.812915874059996</v>
      </c>
    </row>
    <row r="22" spans="1:10" x14ac:dyDescent="0.25">
      <c r="A22" s="20" t="s">
        <v>23</v>
      </c>
      <c r="B22" s="24">
        <v>-5</v>
      </c>
      <c r="C22" s="28">
        <v>12.039811364347999</v>
      </c>
      <c r="D22" s="24">
        <v>20</v>
      </c>
      <c r="E22" s="25">
        <v>7.5</v>
      </c>
      <c r="F22" s="21">
        <f t="shared" si="0"/>
        <v>-12.5</v>
      </c>
      <c r="G22" s="21">
        <f t="shared" si="1"/>
        <v>4.5398113643479991</v>
      </c>
      <c r="H22" s="21">
        <f t="shared" si="6"/>
        <v>12.5</v>
      </c>
      <c r="I22" s="21">
        <f t="shared" si="7"/>
        <v>4.5398113643479991</v>
      </c>
      <c r="J22" s="22" t="e">
        <f t="shared" si="8"/>
        <v>#N/A</v>
      </c>
    </row>
    <row r="23" spans="1:10" x14ac:dyDescent="0.25">
      <c r="A23" s="20" t="s">
        <v>24</v>
      </c>
      <c r="B23" s="24">
        <v>-5</v>
      </c>
      <c r="C23" s="29">
        <v>12.068561273997</v>
      </c>
      <c r="D23" s="24">
        <v>20</v>
      </c>
      <c r="E23" s="25">
        <v>7.5</v>
      </c>
      <c r="F23" s="21">
        <f t="shared" si="0"/>
        <v>-12.5</v>
      </c>
      <c r="G23" s="21">
        <f t="shared" si="1"/>
        <v>4.5685612739970001</v>
      </c>
      <c r="H23" s="21">
        <f t="shared" si="6"/>
        <v>12.5</v>
      </c>
      <c r="I23" s="21">
        <f t="shared" si="7"/>
        <v>4.5685612739970001</v>
      </c>
      <c r="J23" s="22" t="e">
        <f t="shared" si="8"/>
        <v>#N/A</v>
      </c>
    </row>
    <row r="24" spans="1:10" x14ac:dyDescent="0.25">
      <c r="A24" s="20" t="s">
        <v>30</v>
      </c>
      <c r="B24" s="24">
        <v>-15</v>
      </c>
      <c r="C24" s="28">
        <v>-1.9802672486588</v>
      </c>
      <c r="D24" s="24">
        <v>15</v>
      </c>
      <c r="E24" s="25">
        <v>0</v>
      </c>
      <c r="F24" s="21">
        <f t="shared" si="0"/>
        <v>-15</v>
      </c>
      <c r="G24" s="21">
        <f t="shared" si="1"/>
        <v>-1.9802672486588</v>
      </c>
      <c r="H24" s="21">
        <f t="shared" si="6"/>
        <v>15</v>
      </c>
      <c r="I24" s="21">
        <f t="shared" si="7"/>
        <v>-1.9802672486588</v>
      </c>
      <c r="J24" s="22" t="e">
        <f t="shared" si="8"/>
        <v>#N/A</v>
      </c>
    </row>
    <row r="25" spans="1:10" x14ac:dyDescent="0.25">
      <c r="A25" s="20" t="s">
        <v>31</v>
      </c>
      <c r="B25" s="24">
        <v>-15</v>
      </c>
      <c r="C25" s="29">
        <v>-1.9806645241148999</v>
      </c>
      <c r="D25" s="26">
        <v>15</v>
      </c>
      <c r="E25" s="25">
        <v>0</v>
      </c>
      <c r="F25" s="21">
        <f t="shared" si="0"/>
        <v>-15</v>
      </c>
      <c r="G25" s="21">
        <f t="shared" si="1"/>
        <v>-1.9806645241148999</v>
      </c>
      <c r="H25" s="21">
        <f t="shared" si="6"/>
        <v>15</v>
      </c>
      <c r="I25" s="21">
        <f t="shared" si="7"/>
        <v>-1.9806645241148999</v>
      </c>
      <c r="J25" s="22" t="e">
        <f t="shared" si="8"/>
        <v>#N/A</v>
      </c>
    </row>
    <row r="26" spans="1:10" x14ac:dyDescent="0.25">
      <c r="A26" s="20" t="s">
        <v>32</v>
      </c>
      <c r="B26" s="24">
        <v>95</v>
      </c>
      <c r="C26" s="28">
        <v>168.41752662818999</v>
      </c>
      <c r="D26" s="24">
        <v>135</v>
      </c>
      <c r="E26" s="25">
        <v>115</v>
      </c>
      <c r="F26" s="21">
        <f t="shared" si="0"/>
        <v>-20</v>
      </c>
      <c r="G26" s="21">
        <f t="shared" si="1"/>
        <v>53.417526628189989</v>
      </c>
      <c r="H26" s="21">
        <f t="shared" si="6"/>
        <v>20</v>
      </c>
      <c r="I26" s="21" t="e">
        <f t="shared" si="7"/>
        <v>#N/A</v>
      </c>
      <c r="J26" s="22">
        <f t="shared" si="8"/>
        <v>53.417526628189989</v>
      </c>
    </row>
    <row r="27" spans="1:10" x14ac:dyDescent="0.25">
      <c r="A27" s="20" t="s">
        <v>33</v>
      </c>
      <c r="B27" s="24">
        <v>95</v>
      </c>
      <c r="C27" s="29">
        <v>168.46934460397</v>
      </c>
      <c r="D27" s="24">
        <v>135</v>
      </c>
      <c r="E27" s="25">
        <v>115</v>
      </c>
      <c r="F27" s="21">
        <f t="shared" si="0"/>
        <v>-20</v>
      </c>
      <c r="G27" s="21">
        <f t="shared" si="1"/>
        <v>53.469344603970001</v>
      </c>
      <c r="H27" s="21">
        <f t="shared" si="6"/>
        <v>20</v>
      </c>
      <c r="I27" s="21" t="e">
        <f t="shared" si="7"/>
        <v>#N/A</v>
      </c>
      <c r="J27" s="22">
        <f t="shared" si="8"/>
        <v>53.469344603970001</v>
      </c>
    </row>
    <row r="28" spans="1:10" x14ac:dyDescent="0.25">
      <c r="A28" s="20" t="s">
        <v>34</v>
      </c>
      <c r="B28" s="24">
        <v>85</v>
      </c>
      <c r="C28" s="28">
        <v>90</v>
      </c>
      <c r="D28" s="24">
        <v>110</v>
      </c>
      <c r="E28" s="25">
        <v>97.5</v>
      </c>
      <c r="F28" s="21">
        <f t="shared" si="0"/>
        <v>-12.5</v>
      </c>
      <c r="G28" s="21">
        <f t="shared" si="1"/>
        <v>-7.5</v>
      </c>
      <c r="H28" s="21">
        <f t="shared" si="6"/>
        <v>12.5</v>
      </c>
      <c r="I28" s="21">
        <f t="shared" si="7"/>
        <v>-7.5</v>
      </c>
      <c r="J28" s="22" t="e">
        <f t="shared" si="8"/>
        <v>#N/A</v>
      </c>
    </row>
    <row r="29" spans="1:10" x14ac:dyDescent="0.25">
      <c r="A29" s="20" t="s">
        <v>35</v>
      </c>
      <c r="B29" s="24">
        <v>85</v>
      </c>
      <c r="C29" s="29">
        <v>90</v>
      </c>
      <c r="D29" s="24">
        <v>110</v>
      </c>
      <c r="E29" s="25">
        <v>97.5</v>
      </c>
      <c r="F29" s="21">
        <f t="shared" si="0"/>
        <v>-12.5</v>
      </c>
      <c r="G29" s="21">
        <f t="shared" si="1"/>
        <v>-7.5</v>
      </c>
      <c r="H29" s="21">
        <f t="shared" si="6"/>
        <v>12.5</v>
      </c>
      <c r="I29" s="21">
        <f t="shared" si="7"/>
        <v>-7.5</v>
      </c>
      <c r="J29" s="22" t="e">
        <f t="shared" si="8"/>
        <v>#N/A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B20193-D47D-4FC3-9C3C-C8D7353CFB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ResultVisualisation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Brolin</dc:creator>
  <cp:lastModifiedBy>Erik Brolin</cp:lastModifiedBy>
  <cp:lastPrinted>2026-03-10T13:25:15Z</cp:lastPrinted>
  <dcterms:created xsi:type="dcterms:W3CDTF">2026-03-03T08:28:27Z</dcterms:created>
  <dcterms:modified xsi:type="dcterms:W3CDTF">2026-05-28T11:38:09Z</dcterms:modified>
</cp:coreProperties>
</file>